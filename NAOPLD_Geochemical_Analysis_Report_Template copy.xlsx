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M_AS\OneDrive\Documents\"/>
    </mc:Choice>
  </mc:AlternateContent>
  <xr:revisionPtr revIDLastSave="0" documentId="13_ncr:1_{25B63846-2AEC-47E6-86A4-CB4D50951EB6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Instructions" sheetId="1" r:id="rId1"/>
    <sheet name="Report" sheetId="2" r:id="rId2"/>
    <sheet name="Sheet1" sheetId="4" r:id="rId3"/>
    <sheet name="Sheet2" sheetId="5" r:id="rId4"/>
    <sheet name="Sheet3" sheetId="6" r:id="rId5"/>
    <sheet name="Lists" sheetId="3" state="hidden" r:id="rId6"/>
  </sheets>
  <definedNames>
    <definedName name="LabUnitList">Lists!$A$1:$A$5</definedName>
    <definedName name="_xlnm.Print_Area" localSheetId="1">Report!$B$2:$H$46</definedName>
    <definedName name="ReportNumber">Report!$G$4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8" i="6" l="1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O5" i="2"/>
  <c r="O6" i="2"/>
  <c r="O4" i="2"/>
  <c r="G23" i="2"/>
  <c r="E46" i="2"/>
  <c r="E44" i="2"/>
  <c r="D19" i="2"/>
</calcChain>
</file>

<file path=xl/sharedStrings.xml><?xml version="1.0" encoding="utf-8"?>
<sst xmlns="http://schemas.openxmlformats.org/spreadsheetml/2006/main" count="627" uniqueCount="482">
  <si>
    <t>Template usage</t>
  </si>
  <si>
    <t>1) Fill in the blue cells on the 'Report' sheet. The CRM/Report Number is entered once in the header (Report No.) and will automatically populate the CRM Number field.</t>
  </si>
  <si>
    <t>2) Select the Lab Unit from the dropdown list.</t>
  </si>
  <si>
    <t>3) When ready to issue the report, export to PDF.</t>
  </si>
  <si>
    <t>One‑click Export to PDF (recommended)</t>
  </si>
  <si>
    <t>Because Excel macros cannot run in a standard .xlsx, add the below VBA macro and save the file as .xlsm:</t>
  </si>
  <si>
    <t>VBA steps:</t>
  </si>
  <si>
    <t xml:space="preserve">  a) Open Excel &gt; File &gt; Save As &gt; Excel Macro‑Enabled Workbook (*.xlsm).</t>
  </si>
  <si>
    <t xml:space="preserve">  b) Press ALT+F11 to open the VBA editor.</t>
  </si>
  <si>
    <t xml:space="preserve">  c) Insert &gt; Module, then paste the macro code shown below.</t>
  </si>
  <si>
    <t xml:space="preserve">  d) Close the editor.</t>
  </si>
  <si>
    <t xml:space="preserve">  e) (Optional button) On the 'Report' sheet, right‑click the 'EXPORT TO PDF' cell and Insert &gt; Shapes (Rectangle).</t>
  </si>
  <si>
    <t xml:space="preserve">     Right‑click the shape &gt; Assign Macro &gt; Export_Report_To_PDF.</t>
  </si>
  <si>
    <t>Macro code (paste into a VBA module):</t>
  </si>
  <si>
    <t>------------------------------------------------------------</t>
  </si>
  <si>
    <t>Sub Export_Report_To_PDF()</t>
  </si>
  <si>
    <t xml:space="preserve">    Dim ws As Worksheet</t>
  </si>
  <si>
    <t xml:space="preserve">    Dim rptNo As String, fileName As String, folder As String</t>
  </si>
  <si>
    <t xml:space="preserve">    Set ws = ThisWorkbook.Worksheets("Report")</t>
  </si>
  <si>
    <t xml:space="preserve">    rptNo = Trim(ws.Range("J4").Value)</t>
  </si>
  <si>
    <t xml:space="preserve">    If rptNo = "" Then</t>
  </si>
  <si>
    <t xml:space="preserve">        MsgBox "Please enter the Report Number (cell J4).", vbExclamation</t>
  </si>
  <si>
    <t xml:space="preserve">        Exit Sub</t>
  </si>
  <si>
    <t xml:space="preserve">    End If</t>
  </si>
  <si>
    <t xml:space="preserve">    folder = ThisWorkbook.Path</t>
  </si>
  <si>
    <t xml:space="preserve">    If folder = "" Then</t>
  </si>
  <si>
    <t xml:space="preserve">        MsgBox "Please save the workbook first (so Excel knows where to save the PDF).", vbExclamation</t>
  </si>
  <si>
    <t xml:space="preserve">    fileName = folder &amp; "\NAOPLD_Report_" &amp; rptNo &amp; ".pdf"</t>
  </si>
  <si>
    <t xml:space="preserve">    ws.PageSetup.PrintArea = "$B$2:$K$" &amp; ws.Cells(ws.Rows.Count, "B").End(xlUp).Row</t>
  </si>
  <si>
    <t xml:space="preserve">    ws.ExportAsFixedFormat Type:=xlTypePDF, Filename:=fileName, Quality:=xlQualityStandard, IncludeDocProperties:=True, IgnorePrintAreas:=False, OpenAfterPublish:=True</t>
  </si>
  <si>
    <t>End Sub</t>
  </si>
  <si>
    <t>Notes:</t>
  </si>
  <si>
    <t>- If you want the PDF to include a timestamp, change the filename line to append Format(Now, "yyyymmdd_HHMM").</t>
  </si>
  <si>
    <t>- If you have a CRM database, you can additionally log rptNo + key metadata to your CRM process (handled outside this template).</t>
  </si>
  <si>
    <t>EXPORT TO PDF</t>
  </si>
  <si>
    <t>NAPLD/F-158 Rev.01</t>
  </si>
  <si>
    <t>NAOP Technical Support Department</t>
  </si>
  <si>
    <t>Report No.</t>
  </si>
  <si>
    <t>NAOP Laboratories Division</t>
  </si>
  <si>
    <t>ISO/IEC 17025</t>
  </si>
  <si>
    <t>Report Title:</t>
  </si>
  <si>
    <t>Lab Unit:</t>
  </si>
  <si>
    <t>Sample Information</t>
  </si>
  <si>
    <t>Organization</t>
  </si>
  <si>
    <t>Sampling Date</t>
  </si>
  <si>
    <t>Division</t>
  </si>
  <si>
    <t>Sampling Point</t>
  </si>
  <si>
    <t>Plant</t>
  </si>
  <si>
    <t>Received at Lab on</t>
  </si>
  <si>
    <t>CRM Number</t>
  </si>
  <si>
    <t>Analysis completed on</t>
  </si>
  <si>
    <t>Test Parameters</t>
  </si>
  <si>
    <t>Test Method</t>
  </si>
  <si>
    <t>Unit</t>
  </si>
  <si>
    <t>Test Results</t>
  </si>
  <si>
    <t>Analyzed by</t>
  </si>
  <si>
    <t>Date</t>
  </si>
  <si>
    <t>Initial</t>
  </si>
  <si>
    <t>Authorized by</t>
  </si>
  <si>
    <t>Signature</t>
  </si>
  <si>
    <t>Tanajib Lab</t>
  </si>
  <si>
    <t>Manifa Lab</t>
  </si>
  <si>
    <t>Qatif Lab</t>
  </si>
  <si>
    <t>KRSN Lab</t>
  </si>
  <si>
    <t>Abu Ali Lab</t>
  </si>
  <si>
    <t>Requester Information</t>
  </si>
  <si>
    <t>Picture</t>
  </si>
  <si>
    <t>The results relate to the sample tested only</t>
  </si>
  <si>
    <r>
      <t xml:space="preserve">COA TEST REPORT NO. </t>
    </r>
    <r>
      <rPr>
        <b/>
        <i/>
        <sz val="13"/>
        <color rgb="FF0000FF"/>
        <rFont val="Calibri"/>
        <family val="2"/>
      </rPr>
      <t>001-NR</t>
    </r>
  </si>
  <si>
    <t>EMPLOYEE NAME</t>
  </si>
  <si>
    <t>INITIAL</t>
  </si>
  <si>
    <t>Mohammed A. Mahmoud</t>
  </si>
  <si>
    <t>MAM</t>
  </si>
  <si>
    <t>Abdulqadoos Ali Ben-Saleh</t>
  </si>
  <si>
    <t>AAB</t>
  </si>
  <si>
    <t>Ahmed Ameek Enzi</t>
  </si>
  <si>
    <t>AAE</t>
  </si>
  <si>
    <t>Mansour R Enzi</t>
  </si>
  <si>
    <t>MRE</t>
  </si>
  <si>
    <t>Rashed Ali Hadi</t>
  </si>
  <si>
    <t>RAH</t>
  </si>
  <si>
    <t>Mubrak Modhi Harbi</t>
  </si>
  <si>
    <t>MMH</t>
  </si>
  <si>
    <t>Mohammed Saeed Alkhamis</t>
  </si>
  <si>
    <t>MSK</t>
  </si>
  <si>
    <t>Nasser Mubark Mesan</t>
  </si>
  <si>
    <t>NMM</t>
  </si>
  <si>
    <t>Faisal Mohammad Sahman</t>
  </si>
  <si>
    <t>FMS</t>
  </si>
  <si>
    <t>Abdulrahman Rashed Alsubaie</t>
  </si>
  <si>
    <t>ARS</t>
  </si>
  <si>
    <t>Abdulrahman A Ismail</t>
  </si>
  <si>
    <t>AAI</t>
  </si>
  <si>
    <t>Fahad Ghaydan Alrakah</t>
  </si>
  <si>
    <t>FGA</t>
  </si>
  <si>
    <t>Mohammed Qassem Alshammary</t>
  </si>
  <si>
    <t>MQS</t>
  </si>
  <si>
    <t>Falah Ageel Alshammary</t>
  </si>
  <si>
    <t>FAS</t>
  </si>
  <si>
    <t>Mohammed Abdullah Kheir</t>
  </si>
  <si>
    <t>MAK</t>
  </si>
  <si>
    <t>Ali Saleh Abujohnah</t>
  </si>
  <si>
    <t>ASA</t>
  </si>
  <si>
    <t>Ahmed Abdullah Ghazwi</t>
  </si>
  <si>
    <t>AAG</t>
  </si>
  <si>
    <t>Mohammed Mahdi Faraj</t>
  </si>
  <si>
    <t>MMF</t>
  </si>
  <si>
    <t>Nawaf Majed Otaibi</t>
  </si>
  <si>
    <t>NMO</t>
  </si>
  <si>
    <t>Abdulsalam Mnawer Alharbi</t>
  </si>
  <si>
    <t>AMH</t>
  </si>
  <si>
    <t>Khalid Sami Faisal</t>
  </si>
  <si>
    <t>KSF</t>
  </si>
  <si>
    <t>Moatz Abdulrahman Gahmdi</t>
  </si>
  <si>
    <t>MAG</t>
  </si>
  <si>
    <t>Omar Saad Ghamdi</t>
  </si>
  <si>
    <t>OSG</t>
  </si>
  <si>
    <t>Mortada Ahmed Hawaj</t>
  </si>
  <si>
    <t>MAH</t>
  </si>
  <si>
    <t>Mansor Menahy Alshammari</t>
  </si>
  <si>
    <t>MMA</t>
  </si>
  <si>
    <t>Rakan Awed Almotiri</t>
  </si>
  <si>
    <t>RAM</t>
  </si>
  <si>
    <t>Mohanad Ahmad Alhelali</t>
  </si>
  <si>
    <t>MAA</t>
  </si>
  <si>
    <t>Mohammed Mahmass Otaibi</t>
  </si>
  <si>
    <t>MMO</t>
  </si>
  <si>
    <t>Hassan Abbas Alshamry</t>
  </si>
  <si>
    <t>HAA</t>
  </si>
  <si>
    <t>Hassan Taiseer Hamood</t>
  </si>
  <si>
    <t>HTH</t>
  </si>
  <si>
    <t>Hussain Yaquob Aijubaili</t>
  </si>
  <si>
    <t>HYJ</t>
  </si>
  <si>
    <t>Hussain Sadiq Alnasser</t>
  </si>
  <si>
    <t>HSA</t>
  </si>
  <si>
    <t>Mohammed A Alshaiban</t>
  </si>
  <si>
    <t>Faris Mohammed Alshammari</t>
  </si>
  <si>
    <t>FMA</t>
  </si>
  <si>
    <t>Abdulrahman Majid Alsharhan</t>
  </si>
  <si>
    <t>AMA</t>
  </si>
  <si>
    <t>Ali M Hezam</t>
  </si>
  <si>
    <t>Ibrahim A Al Shaiban</t>
  </si>
  <si>
    <t>IAS</t>
  </si>
  <si>
    <t>Abdulrhman K Abdulhadi</t>
  </si>
  <si>
    <t>AKA</t>
  </si>
  <si>
    <t>Yousef K Alshaikhi</t>
  </si>
  <si>
    <t>YKS</t>
  </si>
  <si>
    <t>Faris F Alshammari</t>
  </si>
  <si>
    <t>FFS</t>
  </si>
  <si>
    <t>Abdulaziz A Alshomrani</t>
  </si>
  <si>
    <t>AAS</t>
  </si>
  <si>
    <t>Faisal A Lajam</t>
  </si>
  <si>
    <t>FAL</t>
  </si>
  <si>
    <t>Hussain A Ghumgham</t>
  </si>
  <si>
    <t>HAG</t>
  </si>
  <si>
    <t>Saud K Shammary</t>
  </si>
  <si>
    <t>SKS</t>
  </si>
  <si>
    <t>Mohammed T Aotaibi</t>
  </si>
  <si>
    <t>MTA</t>
  </si>
  <si>
    <t>Ibrahim S Almugheer</t>
  </si>
  <si>
    <t>ISM</t>
  </si>
  <si>
    <t>Jassem Y Ajaj</t>
  </si>
  <si>
    <t>JYA</t>
  </si>
  <si>
    <t>Saqer Z Alshammri</t>
  </si>
  <si>
    <t>SZS</t>
  </si>
  <si>
    <t>Khalid A Alghamdi</t>
  </si>
  <si>
    <t>KAG</t>
  </si>
  <si>
    <t xml:space="preserve">Faisal A Shehri </t>
  </si>
  <si>
    <t>Fahad L Al Mutairi</t>
  </si>
  <si>
    <t>FLM</t>
  </si>
  <si>
    <t>Ali A Al Ghamdi</t>
  </si>
  <si>
    <t>Hussain M Al Fareed</t>
  </si>
  <si>
    <t>HMF</t>
  </si>
  <si>
    <t>Saad A Albuqami</t>
  </si>
  <si>
    <t>SAB</t>
  </si>
  <si>
    <t>Bander N Otaibi</t>
  </si>
  <si>
    <t>BNO</t>
  </si>
  <si>
    <t>Mohammed S Alawad</t>
  </si>
  <si>
    <t>MSA</t>
  </si>
  <si>
    <t>Ahmed A Alhayek</t>
  </si>
  <si>
    <t>AAA</t>
  </si>
  <si>
    <t>Abdullah A Hantosh</t>
  </si>
  <si>
    <t>AAH</t>
  </si>
  <si>
    <t>Nawaf F Alharbi</t>
  </si>
  <si>
    <t>NFA</t>
  </si>
  <si>
    <t>Adel B Zahrani</t>
  </si>
  <si>
    <t>AFA</t>
  </si>
  <si>
    <t>Abdullah M Alharbi</t>
  </si>
  <si>
    <t>Salt In Crude</t>
  </si>
  <si>
    <t>Density/API</t>
  </si>
  <si>
    <t>BS&amp;W</t>
  </si>
  <si>
    <t>RVP</t>
  </si>
  <si>
    <t>TAN</t>
  </si>
  <si>
    <t>TBN</t>
  </si>
  <si>
    <t>Kinematic Viscosity</t>
  </si>
  <si>
    <t>ASTM D3230</t>
  </si>
  <si>
    <t>ASTM D5002</t>
  </si>
  <si>
    <t>ASTM D4007</t>
  </si>
  <si>
    <t>ASTM D6377</t>
  </si>
  <si>
    <t>ASTM D664</t>
  </si>
  <si>
    <t>ASTM D2896</t>
  </si>
  <si>
    <t xml:space="preserve">ASTM D7042 </t>
  </si>
  <si>
    <t>Total Alkalinity</t>
  </si>
  <si>
    <t>APHA -2320 B</t>
  </si>
  <si>
    <t>pH in water</t>
  </si>
  <si>
    <t xml:space="preserve">ASTM D -1293 </t>
  </si>
  <si>
    <t>Sulfates in water</t>
  </si>
  <si>
    <t>ASTM D-512</t>
  </si>
  <si>
    <t>Fluorides in water</t>
  </si>
  <si>
    <t>APHA 4500-F D</t>
  </si>
  <si>
    <t>BOD- 5 Days</t>
  </si>
  <si>
    <t>APHA 5210 B</t>
  </si>
  <si>
    <t>Trace Metals</t>
  </si>
  <si>
    <t>ASTM D-1976</t>
  </si>
  <si>
    <t xml:space="preserve">COD </t>
  </si>
  <si>
    <t>ASTM D-1252 B</t>
  </si>
  <si>
    <t>Phosphate in Water</t>
  </si>
  <si>
    <t>APHA-4500-P</t>
  </si>
  <si>
    <t>TOC</t>
  </si>
  <si>
    <t>ASTM D -4839</t>
  </si>
  <si>
    <t>Chloride in water</t>
  </si>
  <si>
    <t>APHA 4500-CL</t>
  </si>
  <si>
    <t>TDS Gravimetric</t>
  </si>
  <si>
    <t>APHA 2540-C</t>
  </si>
  <si>
    <t>TSS</t>
  </si>
  <si>
    <t>APHA 2540-D</t>
  </si>
  <si>
    <t>Total Solids</t>
  </si>
  <si>
    <t>APHA 2540-B</t>
  </si>
  <si>
    <t xml:space="preserve">Turbuidity </t>
  </si>
  <si>
    <t>APHA 2130- B</t>
  </si>
  <si>
    <t>Total Hardness</t>
  </si>
  <si>
    <t>APHA 2340 C</t>
  </si>
  <si>
    <t>Total Iron in water</t>
  </si>
  <si>
    <t>HACH 8008</t>
  </si>
  <si>
    <t>Calcium Hardness</t>
  </si>
  <si>
    <t>APHA    3500-Ca B</t>
  </si>
  <si>
    <t>Jet Fuel Part. Cont.</t>
  </si>
  <si>
    <t>ASTM D - 5452</t>
  </si>
  <si>
    <t>Electrical Conductivity</t>
  </si>
  <si>
    <t>ASTM D 1125</t>
  </si>
  <si>
    <t>TKN in Water</t>
  </si>
  <si>
    <t>APHA 4500 Organic N</t>
  </si>
  <si>
    <t>Ammonia in Water</t>
  </si>
  <si>
    <t>ASTM D-1426</t>
  </si>
  <si>
    <t>APHA 4500 NH3 C</t>
  </si>
  <si>
    <t>Flash PMCC</t>
  </si>
  <si>
    <t>ASTM-D93</t>
  </si>
  <si>
    <t>Flash COC</t>
  </si>
  <si>
    <t>ASTM-D92</t>
  </si>
  <si>
    <t>Metals in Oil</t>
  </si>
  <si>
    <t>ASTM D-6595</t>
  </si>
  <si>
    <t>Particle Counts</t>
  </si>
  <si>
    <t>ISO 4406-17</t>
  </si>
  <si>
    <t>Water- KF Coulometric</t>
  </si>
  <si>
    <t>ASTM D -6304</t>
  </si>
  <si>
    <t>Water KF  Volumetric</t>
  </si>
  <si>
    <t>ASTM E-203</t>
  </si>
  <si>
    <t>Oxidation Stability</t>
  </si>
  <si>
    <t>ASTM D-2272</t>
  </si>
  <si>
    <t>Foaming Characteristic</t>
  </si>
  <si>
    <t>ASTM D-894</t>
  </si>
  <si>
    <t>Metals in Lube Oil by ICP-OES</t>
  </si>
  <si>
    <t>ASTM D-5185</t>
  </si>
  <si>
    <t>Oil and Grease</t>
  </si>
  <si>
    <t>ASTM D-7678</t>
  </si>
  <si>
    <t>Total Nitrogen &amp; TKN</t>
  </si>
  <si>
    <t>ASTM D-8083</t>
  </si>
  <si>
    <t>Anions in water by IC</t>
  </si>
  <si>
    <t>ASTM D-4327</t>
  </si>
  <si>
    <t>APHA 4110.B</t>
  </si>
  <si>
    <t>Metals in Water by ICP-OES</t>
  </si>
  <si>
    <t>APHA 3120</t>
  </si>
  <si>
    <t>Insolubles in Lube Oil</t>
  </si>
  <si>
    <t>ASTM D-893</t>
  </si>
  <si>
    <t>Color of Petroleum Products</t>
  </si>
  <si>
    <t>ASTM D-6045</t>
  </si>
  <si>
    <t>Gas Composition by GC</t>
  </si>
  <si>
    <t>ASTM D-1945</t>
  </si>
  <si>
    <t>Phosphorus, Reactive (Orthophosphate) in Water &amp; Wastewater</t>
  </si>
  <si>
    <t>HACH 8114</t>
  </si>
  <si>
    <t>Nitrate in Water &amp; Wastewater</t>
  </si>
  <si>
    <t>HACH 8039</t>
  </si>
  <si>
    <t>Phenols  in Water &amp; Wastewater</t>
  </si>
  <si>
    <t>HACH 8047</t>
  </si>
  <si>
    <t>Sulfate in Water &amp; Wastewater</t>
  </si>
  <si>
    <t>HACH  8051</t>
  </si>
  <si>
    <t>Cyanide in Water &amp; Wastewater</t>
  </si>
  <si>
    <t>HACH 8027</t>
  </si>
  <si>
    <t>TEST ADDED</t>
  </si>
  <si>
    <t>APHA 3500-Ca B</t>
  </si>
  <si>
    <t>Phosphorus (Orthophosphate) in Water &amp; Wastewater</t>
  </si>
  <si>
    <t>COD</t>
  </si>
  <si>
    <t>Sel</t>
  </si>
  <si>
    <t>Test / Parameter</t>
  </si>
  <si>
    <t>Standard / Method</t>
  </si>
  <si>
    <t>WI / JTS Ref.</t>
  </si>
  <si>
    <t>Rank</t>
  </si>
  <si>
    <t>Salt in Crude</t>
  </si>
  <si>
    <t>ASTM D-3230</t>
  </si>
  <si>
    <t>ASTM D-5002</t>
  </si>
  <si>
    <t>Basic Sediments and Water (BS&amp;W)</t>
  </si>
  <si>
    <t>ASTM D-4007</t>
  </si>
  <si>
    <t>ASTM D-6377</t>
  </si>
  <si>
    <t>Moisture Content by Karl Fischer</t>
  </si>
  <si>
    <t>ASTM E203-16</t>
  </si>
  <si>
    <t>WI-142</t>
  </si>
  <si>
    <t>Sieve Analysis of Sand</t>
  </si>
  <si>
    <t>ASTM E105</t>
  </si>
  <si>
    <t>WI-010</t>
  </si>
  <si>
    <t>Saybolt Color in Liquid Hydrocarbon</t>
  </si>
  <si>
    <t>ASTM D 156/ASTM D 6045</t>
  </si>
  <si>
    <t>WI-029</t>
  </si>
  <si>
    <t>ASTM Color of</t>
  </si>
  <si>
    <t>ASTM D 1500/ASTM D 6045</t>
  </si>
  <si>
    <t>WI-178</t>
  </si>
  <si>
    <t>ASTM 7995</t>
  </si>
  <si>
    <t>WI-185</t>
  </si>
  <si>
    <t>Total Water in Liquid Butane</t>
  </si>
  <si>
    <t xml:space="preserve"> VPCR of Crude Oil</t>
  </si>
  <si>
    <t>WI-052</t>
  </si>
  <si>
    <t>WI-058</t>
  </si>
  <si>
    <t>WI-145</t>
  </si>
  <si>
    <t>WI-054C</t>
  </si>
  <si>
    <t xml:space="preserve">Test Method Selection Panel </t>
  </si>
  <si>
    <t>APHA -4500-F D</t>
  </si>
  <si>
    <t>WI-184</t>
  </si>
  <si>
    <t>Biochemical Oxygen Demand (5 Days)</t>
  </si>
  <si>
    <t>APHA -5210 B</t>
  </si>
  <si>
    <t>4.04/WI-183</t>
  </si>
  <si>
    <t>COD (Chemical Oxygen Demand)</t>
  </si>
  <si>
    <t>4.04/WI-044</t>
  </si>
  <si>
    <t>Total Organic Carbon (TOC)</t>
  </si>
  <si>
    <t>ASTM D-4839</t>
  </si>
  <si>
    <t>4.04/ WI-120/WI-196</t>
  </si>
  <si>
    <t>4.05/WI-105</t>
  </si>
  <si>
    <t>4.05/WI-197</t>
  </si>
  <si>
    <t>ASTM D-1293</t>
  </si>
  <si>
    <t>3.03/WI-102</t>
  </si>
  <si>
    <t>3.04/WI-078</t>
  </si>
  <si>
    <t>ASTM D-516</t>
  </si>
  <si>
    <t>3.04/WI-104</t>
  </si>
  <si>
    <t>APHA -4500-CL</t>
  </si>
  <si>
    <t>3.04/WI-083</t>
  </si>
  <si>
    <t>Total Dissolved Solids by Gravimetric</t>
  </si>
  <si>
    <t>APHA -2540-C</t>
  </si>
  <si>
    <t>3.03/WI-112</t>
  </si>
  <si>
    <t>Total Suspended Solids</t>
  </si>
  <si>
    <t>APHA -2540-D</t>
  </si>
  <si>
    <t>2.01/WI-114</t>
  </si>
  <si>
    <t>APHA -2540-B</t>
  </si>
  <si>
    <t>WI-115</t>
  </si>
  <si>
    <t>Turbidity</t>
  </si>
  <si>
    <t>APHA -2130- B</t>
  </si>
  <si>
    <t>3.03/WI-113</t>
  </si>
  <si>
    <t>Water Hardness</t>
  </si>
  <si>
    <t>APHA -2340 C</t>
  </si>
  <si>
    <t>WI-092</t>
  </si>
  <si>
    <t>Calcium Ion</t>
  </si>
  <si>
    <t>APHA -3500-Ca B</t>
  </si>
  <si>
    <t>WI-186</t>
  </si>
  <si>
    <t>ASTM D-1125</t>
  </si>
  <si>
    <t>WI-192/WI-087</t>
  </si>
  <si>
    <t>WI-105/WI-201</t>
  </si>
  <si>
    <t>HACH Method 8114</t>
  </si>
  <si>
    <t>WI-100</t>
  </si>
  <si>
    <t>HACH Method 8039</t>
  </si>
  <si>
    <t>WI-050</t>
  </si>
  <si>
    <t>Phenols in Water &amp; Wastewater</t>
  </si>
  <si>
    <t>HACH Method 8047</t>
  </si>
  <si>
    <t>WI-048</t>
  </si>
  <si>
    <t>HACH Method 8051</t>
  </si>
  <si>
    <t>HACH Method 8027</t>
  </si>
  <si>
    <t>WI-047</t>
  </si>
  <si>
    <t>Preparation of SRB Growth Media</t>
  </si>
  <si>
    <t>ASTM D 4412-19</t>
  </si>
  <si>
    <t>WI-030</t>
  </si>
  <si>
    <t>Total Coliform by Membrane Filtration</t>
  </si>
  <si>
    <t>APHA 9222 B</t>
  </si>
  <si>
    <t>WI032</t>
  </si>
  <si>
    <t>Ammonia Nitrogen</t>
  </si>
  <si>
    <t>APHA 4500-NH3 B &amp;C</t>
  </si>
  <si>
    <t>WI-045</t>
  </si>
  <si>
    <t>Heterophily Plate Count (HPC)</t>
  </si>
  <si>
    <t>APHA 9215B</t>
  </si>
  <si>
    <t>WI-035</t>
  </si>
  <si>
    <t>Nitrate Nitrogen By HACH</t>
  </si>
  <si>
    <t>APHA 4500-NO3-E</t>
  </si>
  <si>
    <t>Oil and Grease by Wilks Infracal Hatr</t>
  </si>
  <si>
    <t>USEPA 1664</t>
  </si>
  <si>
    <t>WI-063</t>
  </si>
  <si>
    <t>Moisture in TEG</t>
  </si>
  <si>
    <t>WI-076/WI-142</t>
  </si>
  <si>
    <t>Iron in TEG</t>
  </si>
  <si>
    <t>ASTM D 1068-15</t>
  </si>
  <si>
    <t>WI-077</t>
  </si>
  <si>
    <t>Chloride in TEG</t>
  </si>
  <si>
    <t>WI-083</t>
  </si>
  <si>
    <t>pH in TEG</t>
  </si>
  <si>
    <t>ASTM E70-24</t>
  </si>
  <si>
    <t>WI-074</t>
  </si>
  <si>
    <t>Free and Total Chlorine</t>
  </si>
  <si>
    <t>APHA 4500-CI G</t>
  </si>
  <si>
    <t>WI-084D</t>
  </si>
  <si>
    <t>Free Chlorine &amp; Sodium Hypochlorite by Iodometric Titration</t>
  </si>
  <si>
    <t>APHA 4500-CI B/ ASTM D 2022-89</t>
  </si>
  <si>
    <t>WI-085</t>
  </si>
  <si>
    <t>Dissolved Oxygen in Water</t>
  </si>
  <si>
    <t>WI-089</t>
  </si>
  <si>
    <t>Particle Size by Spectrex Laser</t>
  </si>
  <si>
    <t>ASTM E1458/ASTM D3244/ASTMC1070 ISO 13320</t>
  </si>
  <si>
    <t>WI-099</t>
  </si>
  <si>
    <t>Sulfite in Water</t>
  </si>
  <si>
    <t>APHA 4500-SO3 B</t>
  </si>
  <si>
    <t>WI-106</t>
  </si>
  <si>
    <t>SDI in Water</t>
  </si>
  <si>
    <t>ASTM D 4189-95</t>
  </si>
  <si>
    <t>WI-107</t>
  </si>
  <si>
    <t>Corrosion Inhibitor</t>
  </si>
  <si>
    <t>WI-069</t>
  </si>
  <si>
    <t>GAB Media Preparation</t>
  </si>
  <si>
    <t>British Standard 5763-5 1981</t>
  </si>
  <si>
    <t>WI-031</t>
  </si>
  <si>
    <t>Acid Strength</t>
  </si>
  <si>
    <t>ASTM E-200</t>
  </si>
  <si>
    <t>WI-064</t>
  </si>
  <si>
    <t>Silica in Water</t>
  </si>
  <si>
    <t>ASTM D 859-16</t>
  </si>
  <si>
    <t>WI-108</t>
  </si>
  <si>
    <t>Total Iron by HACH</t>
  </si>
  <si>
    <t>WI-160</t>
  </si>
  <si>
    <t>Anion in Water</t>
  </si>
  <si>
    <t>ASTM D 4327/APHA 4110</t>
  </si>
  <si>
    <t>WI-198</t>
  </si>
  <si>
    <t>TOG &amp; TPH in Water</t>
  </si>
  <si>
    <t>ASTM D 7678-17</t>
  </si>
  <si>
    <t>WI-097A</t>
  </si>
  <si>
    <t>APHA 3125</t>
  </si>
  <si>
    <t>WI-201</t>
  </si>
  <si>
    <t>Water Content - KF Volumetric</t>
  </si>
  <si>
    <t>WI-163</t>
  </si>
  <si>
    <t>Total Acid Number</t>
  </si>
  <si>
    <t>ASTM D-664</t>
  </si>
  <si>
    <t>4.06/WI-164</t>
  </si>
  <si>
    <t>Total Base Number</t>
  </si>
  <si>
    <t>ASTM D-2896</t>
  </si>
  <si>
    <t>4.06/WI/164</t>
  </si>
  <si>
    <t>Kinematic Viscosity and Density</t>
  </si>
  <si>
    <t>ASTM D-7042</t>
  </si>
  <si>
    <t>4.06/WI-169</t>
  </si>
  <si>
    <t>Water Content - KF Coulometric</t>
  </si>
  <si>
    <t>ASTM D-6304</t>
  </si>
  <si>
    <t>4.06/WI-142</t>
  </si>
  <si>
    <t>Particle Count for Lubricants &amp; Hydraulic Oils</t>
  </si>
  <si>
    <t>ASTM D-7647</t>
  </si>
  <si>
    <t>WI-181</t>
  </si>
  <si>
    <t>WI-162/WI-199/WI-190</t>
  </si>
  <si>
    <t>ISO- 11500</t>
  </si>
  <si>
    <t>Insoluble in Lube Oil</t>
  </si>
  <si>
    <t>Crackle Test</t>
  </si>
  <si>
    <t>WI-165</t>
  </si>
  <si>
    <t>Ferrography</t>
  </si>
  <si>
    <t>WI-174</t>
  </si>
  <si>
    <t>ASTM D-6045/ASTM D 1500</t>
  </si>
  <si>
    <t>WI-027/WI-182</t>
  </si>
  <si>
    <t>Water Load and Dew Point</t>
  </si>
  <si>
    <t>WI-161</t>
  </si>
  <si>
    <t>Pentane Insoluble</t>
  </si>
  <si>
    <t>ASTM D4055-04</t>
  </si>
  <si>
    <t>WI-179/WI-173</t>
  </si>
  <si>
    <t>Saybolt Color &amp; Color of Hydrocarbon Products</t>
  </si>
  <si>
    <t>ASTM D-6045/ASTM D 156</t>
  </si>
  <si>
    <t>Foaming</t>
  </si>
  <si>
    <t>ASTM D 892-23</t>
  </si>
  <si>
    <t>WI-171</t>
  </si>
  <si>
    <t>Oxidation</t>
  </si>
  <si>
    <t>ASTM D 2272-22</t>
  </si>
  <si>
    <t>WI-172</t>
  </si>
  <si>
    <t xml:space="preserve">Metals in Crude Oil </t>
  </si>
  <si>
    <t>Metals by (AVIO 200-ICP-AES)</t>
  </si>
  <si>
    <t>Trace Metals in water (ICP-OES)</t>
  </si>
  <si>
    <t>Elemental analysis of Water and Wastewater by ICP-MS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</si>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</sst>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1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1"/>
      <name val="Calibri"/>
      <family val="2"/>
    </font>
    <font>
      <sz val="13"/>
      <color theme="1"/>
      <name val="Calibri"/>
      <family val="2"/>
      <scheme val="minor"/>
    </font>
    <font>
      <b/>
      <sz val="13"/>
      <color rgb="FFFFFFFF"/>
      <name val="Calibri"/>
      <family val="2"/>
    </font>
    <font>
      <sz val="13"/>
      <name val="Calibri"/>
      <family val="2"/>
    </font>
    <font>
      <b/>
      <sz val="13"/>
      <name val="Calibri"/>
      <family val="2"/>
    </font>
    <font>
      <b/>
      <sz val="13"/>
      <color rgb="FF0000FF"/>
      <name val="Calibri"/>
      <family val="2"/>
    </font>
    <font>
      <sz val="13"/>
      <color rgb="FF0000FF"/>
      <name val="Calibri"/>
      <family val="2"/>
    </font>
    <font>
      <sz val="13"/>
      <color rgb="FF008000"/>
      <name val="Calibri"/>
      <family val="2"/>
    </font>
    <font>
      <i/>
      <sz val="13"/>
      <color rgb="FF1F4E79"/>
      <name val="Calibri"/>
      <family val="2"/>
    </font>
    <font>
      <b/>
      <i/>
      <sz val="13"/>
      <color rgb="FF0000FF"/>
      <name val="Calibri"/>
      <family val="2"/>
    </font>
    <font>
      <b/>
      <sz val="10"/>
      <color theme="1"/>
      <name val="Cambria"/>
      <family val="2"/>
      <scheme val="major"/>
    </font>
    <font>
      <sz val="10"/>
      <color theme="1"/>
      <name val="Cambria"/>
      <family val="2"/>
      <scheme val="major"/>
    </font>
    <font>
      <sz val="11"/>
      <color rgb="FF000000"/>
      <name val="Calibri"/>
      <family val="2"/>
    </font>
    <font>
      <sz val="10"/>
      <color rgb="FF000000"/>
      <name val="Cambria"/>
      <family val="2"/>
      <scheme val="major"/>
    </font>
    <font>
      <sz val="10"/>
      <color theme="6" tint="-0.499984740745262"/>
      <name val="Cambria"/>
      <family val="2"/>
      <scheme val="major"/>
    </font>
    <font>
      <sz val="9"/>
      <name val="Calibri"/>
      <family val="2"/>
    </font>
    <font>
      <sz val="8"/>
      <name val="Calibri"/>
      <family val="2"/>
      <scheme val="minor"/>
    </font>
    <font>
      <b/>
      <sz val="14"/>
      <name val="Calibri"/>
      <family val="2"/>
    </font>
    <font>
      <b/>
      <sz val="22"/>
      <color rgb="FFFFFF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1F4E79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404040"/>
      </patternFill>
    </fill>
    <fill>
      <patternFill patternType="solid">
        <fgColor rgb="FFE6E6E6"/>
      </patternFill>
    </fill>
  </fills>
  <borders count="6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medium">
        <color indexed="64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/>
    <xf numFmtId="0" fontId="8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left" vertical="center" wrapText="1"/>
    </xf>
    <xf numFmtId="164" fontId="8" fillId="3" borderId="4" xfId="0" applyNumberFormat="1" applyFont="1" applyFill="1" applyBorder="1" applyAlignment="1">
      <alignment horizontal="left" vertical="center" wrapText="1"/>
    </xf>
    <xf numFmtId="0" fontId="3" fillId="0" borderId="23" xfId="0" applyFont="1" applyBorder="1"/>
    <xf numFmtId="0" fontId="3" fillId="0" borderId="29" xfId="0" applyFont="1" applyBorder="1"/>
    <xf numFmtId="0" fontId="8" fillId="3" borderId="43" xfId="0" applyFont="1" applyFill="1" applyBorder="1" applyAlignment="1">
      <alignment vertical="center" wrapText="1"/>
    </xf>
    <xf numFmtId="0" fontId="5" fillId="2" borderId="10" xfId="0" applyFont="1" applyFill="1" applyBorder="1" applyAlignment="1" applyProtection="1">
      <alignment horizontal="left" vertical="center" wrapText="1"/>
      <protection locked="0"/>
    </xf>
    <xf numFmtId="0" fontId="5" fillId="2" borderId="7" xfId="0" applyFont="1" applyFill="1" applyBorder="1" applyAlignment="1" applyProtection="1">
      <alignment horizontal="left" vertical="center" wrapText="1"/>
      <protection locked="0"/>
    </xf>
    <xf numFmtId="0" fontId="5" fillId="2" borderId="43" xfId="0" applyFont="1" applyFill="1" applyBorder="1" applyAlignment="1" applyProtection="1">
      <alignment horizontal="left" vertical="center" wrapText="1"/>
      <protection locked="0"/>
    </xf>
    <xf numFmtId="0" fontId="13" fillId="0" borderId="53" xfId="0" applyFont="1" applyBorder="1" applyAlignment="1">
      <alignment horizontal="left" vertical="center"/>
    </xf>
    <xf numFmtId="0" fontId="13" fillId="0" borderId="54" xfId="0" applyFont="1" applyBorder="1" applyAlignment="1">
      <alignment horizontal="center" vertical="center"/>
    </xf>
    <xf numFmtId="0" fontId="13" fillId="0" borderId="51" xfId="0" applyFont="1" applyBorder="1" applyAlignment="1">
      <alignment horizontal="left" vertical="center"/>
    </xf>
    <xf numFmtId="0" fontId="13" fillId="0" borderId="52" xfId="0" applyFont="1" applyBorder="1" applyAlignment="1">
      <alignment horizontal="center" vertical="center"/>
    </xf>
    <xf numFmtId="0" fontId="13" fillId="0" borderId="54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0" fontId="13" fillId="0" borderId="55" xfId="0" applyFont="1" applyBorder="1" applyAlignment="1">
      <alignment horizontal="center" vertical="center"/>
    </xf>
    <xf numFmtId="0" fontId="12" fillId="9" borderId="50" xfId="0" applyFont="1" applyFill="1" applyBorder="1" applyAlignment="1">
      <alignment horizontal="center" vertical="center" wrapText="1"/>
    </xf>
    <xf numFmtId="0" fontId="12" fillId="9" borderId="56" xfId="0" applyFont="1" applyFill="1" applyBorder="1" applyAlignment="1">
      <alignment horizontal="center" vertical="center" wrapText="1"/>
    </xf>
    <xf numFmtId="0" fontId="13" fillId="10" borderId="57" xfId="0" applyFont="1" applyFill="1" applyBorder="1" applyAlignment="1">
      <alignment horizontal="center" vertical="center" wrapText="1"/>
    </xf>
    <xf numFmtId="0" fontId="13" fillId="10" borderId="58" xfId="0" applyFont="1" applyFill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 wrapText="1"/>
    </xf>
    <xf numFmtId="0" fontId="13" fillId="0" borderId="62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0" fontId="13" fillId="0" borderId="64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6" fillId="0" borderId="64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top" wrapText="1"/>
    </xf>
    <xf numFmtId="0" fontId="19" fillId="12" borderId="1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 applyProtection="1">
      <alignment horizontal="center" vertical="center" wrapText="1"/>
      <protection locked="0"/>
    </xf>
    <xf numFmtId="0" fontId="5" fillId="2" borderId="32" xfId="0" applyFont="1" applyFill="1" applyBorder="1" applyAlignment="1" applyProtection="1">
      <alignment horizontal="center" vertical="center" wrapText="1"/>
      <protection locked="0"/>
    </xf>
    <xf numFmtId="164" fontId="8" fillId="3" borderId="1" xfId="0" applyNumberFormat="1" applyFont="1" applyFill="1" applyBorder="1" applyAlignment="1">
      <alignment horizontal="left" vertical="center" wrapText="1"/>
    </xf>
    <xf numFmtId="164" fontId="8" fillId="3" borderId="26" xfId="0" applyNumberFormat="1" applyFont="1" applyFill="1" applyBorder="1" applyAlignment="1">
      <alignment horizontal="left" vertical="center" wrapText="1"/>
    </xf>
    <xf numFmtId="0" fontId="6" fillId="2" borderId="33" xfId="0" applyFont="1" applyFill="1" applyBorder="1" applyAlignment="1" applyProtection="1">
      <alignment horizontal="center" vertical="center" wrapText="1"/>
      <protection locked="0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4" borderId="3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2" borderId="3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2" borderId="9" xfId="0" applyFont="1" applyFill="1" applyBorder="1" applyAlignment="1" applyProtection="1">
      <alignment horizontal="left" vertical="center" wrapText="1"/>
      <protection locked="0"/>
    </xf>
    <xf numFmtId="0" fontId="6" fillId="5" borderId="3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7" borderId="27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7" borderId="25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36" xfId="0" applyFont="1" applyFill="1" applyBorder="1" applyAlignment="1">
      <alignment horizontal="left" vertical="center" wrapText="1"/>
    </xf>
    <xf numFmtId="0" fontId="6" fillId="2" borderId="26" xfId="0" applyFont="1" applyFill="1" applyBorder="1" applyAlignment="1">
      <alignment horizontal="left" vertical="center" wrapText="1"/>
    </xf>
    <xf numFmtId="0" fontId="8" fillId="3" borderId="35" xfId="0" applyFont="1" applyFill="1" applyBorder="1" applyAlignment="1">
      <alignment horizontal="left" vertical="center" wrapText="1"/>
    </xf>
    <xf numFmtId="0" fontId="6" fillId="2" borderId="34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32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26" xfId="0" applyFont="1" applyFill="1" applyBorder="1" applyAlignment="1">
      <alignment horizontal="left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26" xfId="0" applyFont="1" applyFill="1" applyBorder="1" applyAlignment="1">
      <alignment horizontal="left" vertical="center" wrapText="1"/>
    </xf>
    <xf numFmtId="0" fontId="6" fillId="5" borderId="3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26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left" vertical="center" wrapText="1"/>
    </xf>
    <xf numFmtId="0" fontId="6" fillId="2" borderId="32" xfId="0" applyFont="1" applyFill="1" applyBorder="1" applyAlignment="1">
      <alignment horizontal="left" vertical="center" wrapText="1"/>
    </xf>
    <xf numFmtId="0" fontId="10" fillId="2" borderId="40" xfId="0" applyFont="1" applyFill="1" applyBorder="1" applyAlignment="1">
      <alignment horizontal="left" vertical="center"/>
    </xf>
    <xf numFmtId="0" fontId="10" fillId="2" borderId="41" xfId="0" applyFont="1" applyFill="1" applyBorder="1" applyAlignment="1">
      <alignment horizontal="left" vertical="center"/>
    </xf>
    <xf numFmtId="0" fontId="10" fillId="2" borderId="42" xfId="0" applyFont="1" applyFill="1" applyBorder="1" applyAlignment="1">
      <alignment horizontal="left" vertical="center"/>
    </xf>
    <xf numFmtId="0" fontId="8" fillId="3" borderId="37" xfId="0" applyFont="1" applyFill="1" applyBorder="1" applyAlignment="1">
      <alignment horizontal="left" vertical="center" wrapText="1"/>
    </xf>
    <xf numFmtId="0" fontId="8" fillId="3" borderId="38" xfId="0" applyFont="1" applyFill="1" applyBorder="1" applyAlignment="1">
      <alignment horizontal="left" vertical="center" wrapText="1"/>
    </xf>
    <xf numFmtId="0" fontId="5" fillId="2" borderId="44" xfId="0" applyFont="1" applyFill="1" applyBorder="1" applyAlignment="1" applyProtection="1">
      <alignment horizontal="center" vertical="center" wrapText="1"/>
      <protection locked="0"/>
    </xf>
    <xf numFmtId="0" fontId="5" fillId="2" borderId="45" xfId="0" applyFont="1" applyFill="1" applyBorder="1" applyAlignment="1" applyProtection="1">
      <alignment horizontal="center" vertical="center" wrapText="1"/>
      <protection locked="0"/>
    </xf>
    <xf numFmtId="0" fontId="3" fillId="0" borderId="27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9" xfId="0" applyFont="1" applyBorder="1" applyAlignment="1">
      <alignment horizontal="center"/>
    </xf>
    <xf numFmtId="0" fontId="10" fillId="8" borderId="46" xfId="0" applyFont="1" applyFill="1" applyBorder="1" applyAlignment="1">
      <alignment horizontal="center" vertical="center"/>
    </xf>
    <xf numFmtId="0" fontId="10" fillId="8" borderId="47" xfId="0" applyFont="1" applyFill="1" applyBorder="1" applyAlignment="1">
      <alignment horizontal="center" vertical="center"/>
    </xf>
    <xf numFmtId="0" fontId="10" fillId="8" borderId="48" xfId="0" applyFont="1" applyFill="1" applyBorder="1" applyAlignment="1">
      <alignment horizontal="center" vertical="center"/>
    </xf>
    <xf numFmtId="0" fontId="5" fillId="2" borderId="7" xfId="0" applyFont="1" applyFill="1" applyBorder="1" applyAlignment="1" applyProtection="1">
      <alignment horizontal="left" vertical="center" wrapText="1"/>
      <protection locked="0"/>
    </xf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0" fontId="5" fillId="2" borderId="39" xfId="0" applyFont="1" applyFill="1" applyBorder="1" applyAlignment="1" applyProtection="1">
      <alignment horizontal="center" vertical="center" wrapText="1"/>
      <protection locked="0"/>
    </xf>
    <xf numFmtId="0" fontId="12" fillId="9" borderId="49" xfId="0" applyFont="1" applyFill="1" applyBorder="1" applyAlignment="1">
      <alignment horizontal="left" vertical="center"/>
    </xf>
    <xf numFmtId="0" fontId="12" fillId="9" borderId="51" xfId="0" applyFont="1" applyFill="1" applyBorder="1" applyAlignment="1">
      <alignment horizontal="left" vertical="center"/>
    </xf>
    <xf numFmtId="0" fontId="12" fillId="9" borderId="50" xfId="0" applyFont="1" applyFill="1" applyBorder="1" applyAlignment="1">
      <alignment horizontal="center" vertical="center"/>
    </xf>
    <xf numFmtId="0" fontId="12" fillId="9" borderId="52" xfId="0" applyFont="1" applyFill="1" applyBorder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20" fillId="11" borderId="15" xfId="0" applyFont="1" applyFill="1" applyBorder="1" applyAlignment="1">
      <alignment horizontal="center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68580</xdr:colOff>
          <xdr:row>0</xdr:row>
          <xdr:rowOff>45720</xdr:rowOff>
        </xdr:from>
        <xdr:to>
          <xdr:col>7</xdr:col>
          <xdr:colOff>944880</xdr:colOff>
          <xdr:row>0</xdr:row>
          <xdr:rowOff>251460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EXPORT TO PDF</a:t>
              </a:r>
            </a:p>
          </xdr:txBody>
        </xdr:sp>
        <xdr:clientData fPrintsWithSheet="0"/>
      </xdr:twoCellAnchor>
    </mc:Choice>
    <mc:Fallback/>
  </mc:AlternateContent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EA581B9-05FB-4719-AC58-2199F4D9DD0C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CTUaf4Gw3qFkFhSEhmTrA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4498DBF-45D6-4758-9316-8B92E817159A}">
  <we:reference id="wa200005669" version="2.0.0.0" store="en-US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41"/>
  <sheetViews>
    <sheetView showGridLines="0" workbookViewId="0">
      <selection activeCell="A20" sqref="A20:A36"/>
    </sheetView>
  </sheetViews>
  <sheetFormatPr defaultRowHeight="14.4" x14ac:dyDescent="0.3"/>
  <cols>
    <col min="1" max="1" width="120" customWidth="1"/>
  </cols>
  <sheetData>
    <row r="1" spans="1:1" ht="18" customHeight="1" x14ac:dyDescent="0.3">
      <c r="A1" s="1" t="s">
        <v>0</v>
      </c>
    </row>
    <row r="2" spans="1:1" ht="18" customHeight="1" x14ac:dyDescent="0.3">
      <c r="A2" s="2" t="s">
        <v>1</v>
      </c>
    </row>
    <row r="3" spans="1:1" ht="18" customHeight="1" x14ac:dyDescent="0.3">
      <c r="A3" s="2" t="s">
        <v>2</v>
      </c>
    </row>
    <row r="4" spans="1:1" ht="18" customHeight="1" x14ac:dyDescent="0.3">
      <c r="A4" s="2" t="s">
        <v>3</v>
      </c>
    </row>
    <row r="5" spans="1:1" ht="15.9" customHeight="1" x14ac:dyDescent="0.3">
      <c r="A5" s="2"/>
    </row>
    <row r="6" spans="1:1" ht="15.9" customHeight="1" x14ac:dyDescent="0.3">
      <c r="A6" s="2" t="s">
        <v>4</v>
      </c>
    </row>
    <row r="7" spans="1:1" ht="15.9" customHeight="1" x14ac:dyDescent="0.3">
      <c r="A7" s="2" t="s">
        <v>5</v>
      </c>
    </row>
    <row r="8" spans="1:1" ht="15.9" customHeight="1" x14ac:dyDescent="0.3">
      <c r="A8" s="2"/>
    </row>
    <row r="9" spans="1:1" ht="15.9" customHeight="1" x14ac:dyDescent="0.3">
      <c r="A9" s="2" t="s">
        <v>6</v>
      </c>
    </row>
    <row r="10" spans="1:1" ht="15.9" customHeight="1" x14ac:dyDescent="0.3">
      <c r="A10" s="2" t="s">
        <v>7</v>
      </c>
    </row>
    <row r="11" spans="1:1" ht="15.9" customHeight="1" x14ac:dyDescent="0.3">
      <c r="A11" s="2" t="s">
        <v>8</v>
      </c>
    </row>
    <row r="12" spans="1:1" ht="15.9" customHeight="1" x14ac:dyDescent="0.3">
      <c r="A12" s="2" t="s">
        <v>9</v>
      </c>
    </row>
    <row r="13" spans="1:1" ht="15.9" customHeight="1" x14ac:dyDescent="0.3">
      <c r="A13" s="2" t="s">
        <v>10</v>
      </c>
    </row>
    <row r="14" spans="1:1" ht="15.9" customHeight="1" x14ac:dyDescent="0.3">
      <c r="A14" s="2" t="s">
        <v>11</v>
      </c>
    </row>
    <row r="15" spans="1:1" ht="15.9" customHeight="1" x14ac:dyDescent="0.3">
      <c r="A15" s="2" t="s">
        <v>12</v>
      </c>
    </row>
    <row r="16" spans="1:1" ht="15.9" customHeight="1" x14ac:dyDescent="0.3">
      <c r="A16" s="2"/>
    </row>
    <row r="17" spans="1:1" ht="15.9" customHeight="1" x14ac:dyDescent="0.3">
      <c r="A17" s="2" t="s">
        <v>13</v>
      </c>
    </row>
    <row r="18" spans="1:1" ht="15.9" customHeight="1" x14ac:dyDescent="0.3">
      <c r="A18" s="2" t="s">
        <v>14</v>
      </c>
    </row>
    <row r="19" spans="1:1" ht="15.9" customHeight="1" x14ac:dyDescent="0.3">
      <c r="A19" s="2" t="s">
        <v>15</v>
      </c>
    </row>
    <row r="20" spans="1:1" ht="15.9" customHeight="1" x14ac:dyDescent="0.3">
      <c r="A20" s="2" t="s">
        <v>16</v>
      </c>
    </row>
    <row r="21" spans="1:1" ht="15.9" customHeight="1" x14ac:dyDescent="0.3">
      <c r="A21" s="2" t="s">
        <v>17</v>
      </c>
    </row>
    <row r="22" spans="1:1" ht="15.9" customHeight="1" x14ac:dyDescent="0.3">
      <c r="A22" s="2" t="s">
        <v>18</v>
      </c>
    </row>
    <row r="23" spans="1:1" ht="15.9" customHeight="1" x14ac:dyDescent="0.3">
      <c r="A23" s="2" t="s">
        <v>19</v>
      </c>
    </row>
    <row r="24" spans="1:1" ht="15.9" customHeight="1" x14ac:dyDescent="0.3">
      <c r="A24" s="2" t="s">
        <v>20</v>
      </c>
    </row>
    <row r="25" spans="1:1" ht="15.9" customHeight="1" x14ac:dyDescent="0.3">
      <c r="A25" s="2" t="s">
        <v>21</v>
      </c>
    </row>
    <row r="26" spans="1:1" ht="15.9" customHeight="1" x14ac:dyDescent="0.3">
      <c r="A26" s="2" t="s">
        <v>22</v>
      </c>
    </row>
    <row r="27" spans="1:1" ht="15.9" customHeight="1" x14ac:dyDescent="0.3">
      <c r="A27" s="2" t="s">
        <v>23</v>
      </c>
    </row>
    <row r="28" spans="1:1" ht="15.9" customHeight="1" x14ac:dyDescent="0.3">
      <c r="A28" s="2" t="s">
        <v>24</v>
      </c>
    </row>
    <row r="29" spans="1:1" ht="15.9" customHeight="1" x14ac:dyDescent="0.3">
      <c r="A29" s="2" t="s">
        <v>25</v>
      </c>
    </row>
    <row r="30" spans="1:1" ht="15.9" customHeight="1" x14ac:dyDescent="0.3">
      <c r="A30" s="2" t="s">
        <v>26</v>
      </c>
    </row>
    <row r="31" spans="1:1" ht="15.9" customHeight="1" x14ac:dyDescent="0.3">
      <c r="A31" s="2" t="s">
        <v>22</v>
      </c>
    </row>
    <row r="32" spans="1:1" ht="15.9" customHeight="1" x14ac:dyDescent="0.3">
      <c r="A32" s="2" t="s">
        <v>23</v>
      </c>
    </row>
    <row r="33" spans="1:1" ht="15.9" customHeight="1" x14ac:dyDescent="0.3">
      <c r="A33" s="2" t="s">
        <v>27</v>
      </c>
    </row>
    <row r="34" spans="1:1" ht="15.9" customHeight="1" x14ac:dyDescent="0.3">
      <c r="A34" s="2" t="s">
        <v>28</v>
      </c>
    </row>
    <row r="35" spans="1:1" ht="15.9" customHeight="1" x14ac:dyDescent="0.3">
      <c r="A35" s="2" t="s">
        <v>29</v>
      </c>
    </row>
    <row r="36" spans="1:1" ht="15.9" customHeight="1" x14ac:dyDescent="0.3">
      <c r="A36" s="2" t="s">
        <v>30</v>
      </c>
    </row>
    <row r="37" spans="1:1" ht="15.9" customHeight="1" x14ac:dyDescent="0.3">
      <c r="A37" s="2" t="s">
        <v>14</v>
      </c>
    </row>
    <row r="38" spans="1:1" ht="15.9" customHeight="1" x14ac:dyDescent="0.3">
      <c r="A38" s="2"/>
    </row>
    <row r="39" spans="1:1" ht="15.9" customHeight="1" x14ac:dyDescent="0.3">
      <c r="A39" s="2" t="s">
        <v>31</v>
      </c>
    </row>
    <row r="40" spans="1:1" ht="15.9" customHeight="1" x14ac:dyDescent="0.3">
      <c r="A40" s="2" t="s">
        <v>32</v>
      </c>
    </row>
    <row r="41" spans="1:1" ht="15.9" customHeight="1" x14ac:dyDescent="0.3">
      <c r="A41" s="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O67"/>
  <sheetViews>
    <sheetView topLeftCell="A17" zoomScale="55" zoomScaleNormal="55" workbookViewId="0">
      <selection activeCell="S14" sqref="S14"/>
    </sheetView>
  </sheetViews>
  <sheetFormatPr defaultRowHeight="14.4" x14ac:dyDescent="0.3"/>
  <cols>
    <col min="1" max="1" width="2.109375" customWidth="1"/>
    <col min="2" max="2" width="10" customWidth="1"/>
    <col min="3" max="3" width="9.109375" customWidth="1"/>
    <col min="4" max="4" width="25.5546875" customWidth="1"/>
    <col min="5" max="5" width="18.33203125" customWidth="1"/>
    <col min="6" max="6" width="13.44140625" customWidth="1"/>
    <col min="7" max="7" width="14.5546875" customWidth="1"/>
    <col min="8" max="8" width="14" customWidth="1"/>
    <col min="9" max="9" width="2.109375" customWidth="1"/>
    <col min="11" max="11" width="38" customWidth="1"/>
    <col min="12" max="12" width="11.44140625" bestFit="1" customWidth="1"/>
    <col min="14" max="14" width="13.77734375" bestFit="1" customWidth="1"/>
    <col min="15" max="15" width="11.6640625" bestFit="1" customWidth="1"/>
  </cols>
  <sheetData>
    <row r="1" spans="1:15" ht="21.9" customHeight="1" thickBot="1" x14ac:dyDescent="0.4">
      <c r="A1" s="3"/>
      <c r="B1" s="3"/>
      <c r="C1" s="3"/>
      <c r="D1" s="3"/>
      <c r="E1" s="3"/>
      <c r="F1" s="3"/>
      <c r="G1" s="90" t="s">
        <v>34</v>
      </c>
      <c r="H1" s="90"/>
    </row>
    <row r="2" spans="1:15" ht="18" customHeight="1" x14ac:dyDescent="0.35">
      <c r="A2" s="3"/>
      <c r="B2" s="96" t="s">
        <v>66</v>
      </c>
      <c r="C2" s="97"/>
      <c r="D2" s="50" t="s">
        <v>36</v>
      </c>
      <c r="E2" s="51"/>
      <c r="F2" s="52"/>
      <c r="G2" s="94" t="s">
        <v>35</v>
      </c>
      <c r="H2" s="95"/>
    </row>
    <row r="3" spans="1:15" ht="18" customHeight="1" thickBot="1" x14ac:dyDescent="0.4">
      <c r="A3" s="3"/>
      <c r="B3" s="98"/>
      <c r="C3" s="99"/>
      <c r="D3" s="48"/>
      <c r="E3" s="53"/>
      <c r="F3" s="54"/>
      <c r="G3" s="66" t="s">
        <v>37</v>
      </c>
      <c r="H3" s="93"/>
      <c r="O3" t="s">
        <v>288</v>
      </c>
    </row>
    <row r="4" spans="1:15" ht="18" customHeight="1" thickBot="1" x14ac:dyDescent="0.4">
      <c r="A4" s="3"/>
      <c r="B4" s="100"/>
      <c r="C4" s="101"/>
      <c r="D4" s="66" t="s">
        <v>38</v>
      </c>
      <c r="E4" s="67"/>
      <c r="F4" s="68"/>
      <c r="G4" s="102"/>
      <c r="H4" s="103"/>
      <c r="J4" s="136" t="b">
        <v>1</v>
      </c>
      <c r="K4" s="25" t="s">
        <v>188</v>
      </c>
      <c r="N4" s="27" t="s">
        <v>195</v>
      </c>
      <c r="O4">
        <f>IF($J4=TRUE,COUNTIF($J$4:$J4,TRUE),"")</f>
        <v>1</v>
      </c>
    </row>
    <row r="5" spans="1:15" ht="15" hidden="1" customHeight="1" x14ac:dyDescent="0.4">
      <c r="A5" s="3"/>
      <c r="B5" s="72"/>
      <c r="C5" s="73"/>
      <c r="D5" s="73"/>
      <c r="E5" s="73"/>
      <c r="F5" s="74"/>
      <c r="G5" s="44" t="s">
        <v>39</v>
      </c>
      <c r="H5" s="45"/>
      <c r="J5" s="136" t="b">
        <v>1</v>
      </c>
      <c r="K5" s="25" t="s">
        <v>189</v>
      </c>
      <c r="N5" s="27" t="s">
        <v>196</v>
      </c>
      <c r="O5">
        <f>IF($J5=TRUE,COUNTIF($J$4:$J5,TRUE),"")</f>
        <v>2</v>
      </c>
    </row>
    <row r="6" spans="1:15" ht="15" hidden="1" customHeight="1" x14ac:dyDescent="0.4">
      <c r="A6" s="3"/>
      <c r="B6" s="75"/>
      <c r="C6" s="76"/>
      <c r="D6" s="76"/>
      <c r="E6" s="76"/>
      <c r="F6" s="77"/>
      <c r="G6" s="46"/>
      <c r="H6" s="47"/>
      <c r="J6" s="136" t="b">
        <v>1</v>
      </c>
      <c r="K6" s="25" t="s">
        <v>190</v>
      </c>
      <c r="N6" s="27" t="s">
        <v>197</v>
      </c>
      <c r="O6">
        <f>IF($J6=TRUE,COUNTIF($J$4:$J6,TRUE),"")</f>
        <v>3</v>
      </c>
    </row>
    <row r="7" spans="1:15" ht="24.75" customHeight="1" thickBot="1" x14ac:dyDescent="0.4">
      <c r="A7" s="3"/>
      <c r="B7" s="78"/>
      <c r="C7" s="79"/>
      <c r="D7" s="79"/>
      <c r="E7" s="79"/>
      <c r="F7" s="80"/>
      <c r="G7" s="48"/>
      <c r="H7" s="49"/>
      <c r="J7" s="136" t="b">
        <v>1</v>
      </c>
      <c r="K7" s="25" t="s">
        <v>191</v>
      </c>
      <c r="N7" s="27" t="s">
        <v>198</v>
      </c>
      <c r="O7">
        <v>2</v>
      </c>
    </row>
    <row r="8" spans="1:15" ht="24.75" customHeight="1" thickBot="1" x14ac:dyDescent="0.4">
      <c r="A8" s="3"/>
      <c r="B8" s="62" t="s">
        <v>40</v>
      </c>
      <c r="C8" s="63"/>
      <c r="D8" s="91"/>
      <c r="E8" s="91"/>
      <c r="F8" s="91"/>
      <c r="G8" s="91"/>
      <c r="H8" s="92"/>
      <c r="J8" s="136" t="b">
        <v>1</v>
      </c>
      <c r="K8" s="25" t="s">
        <v>192</v>
      </c>
      <c r="N8" s="27" t="s">
        <v>199</v>
      </c>
    </row>
    <row r="9" spans="1:15" ht="18" customHeight="1" thickBot="1" x14ac:dyDescent="0.4">
      <c r="A9" s="3"/>
      <c r="B9" s="62"/>
      <c r="C9" s="63"/>
      <c r="D9" s="91"/>
      <c r="E9" s="91"/>
      <c r="F9" s="91"/>
      <c r="G9" s="91"/>
      <c r="H9" s="92"/>
      <c r="J9" s="136" t="b">
        <v>1</v>
      </c>
      <c r="K9" s="25" t="s">
        <v>193</v>
      </c>
      <c r="N9" s="27" t="s">
        <v>200</v>
      </c>
    </row>
    <row r="10" spans="1:15" ht="18" customHeight="1" thickBot="1" x14ac:dyDescent="0.4">
      <c r="A10" s="3"/>
      <c r="B10" s="62"/>
      <c r="C10" s="63"/>
      <c r="D10" s="91"/>
      <c r="E10" s="91"/>
      <c r="F10" s="91"/>
      <c r="G10" s="91"/>
      <c r="H10" s="92"/>
      <c r="J10" s="136" t="b">
        <v>1</v>
      </c>
      <c r="K10" s="26" t="s">
        <v>194</v>
      </c>
      <c r="N10" s="28" t="s">
        <v>201</v>
      </c>
    </row>
    <row r="11" spans="1:15" ht="18" customHeight="1" thickBot="1" x14ac:dyDescent="0.4">
      <c r="A11" s="3"/>
      <c r="B11" s="12"/>
      <c r="C11" s="3"/>
      <c r="D11" s="3"/>
      <c r="E11" s="3"/>
      <c r="F11" s="3"/>
      <c r="G11" s="3"/>
      <c r="H11" s="13"/>
      <c r="J11" s="136" t="b">
        <v>1</v>
      </c>
      <c r="K11" s="29" t="s">
        <v>202</v>
      </c>
      <c r="L11" s="30"/>
      <c r="M11" s="30"/>
      <c r="N11" s="31" t="s">
        <v>203</v>
      </c>
    </row>
    <row r="12" spans="1:15" ht="18" customHeight="1" thickBot="1" x14ac:dyDescent="0.4">
      <c r="A12" s="3"/>
      <c r="B12" s="62" t="s">
        <v>41</v>
      </c>
      <c r="C12" s="91" t="s">
        <v>60</v>
      </c>
      <c r="D12" s="91"/>
      <c r="E12" s="107" t="s">
        <v>68</v>
      </c>
      <c r="F12" s="107"/>
      <c r="G12" s="107"/>
      <c r="H12" s="108"/>
      <c r="J12" s="136" t="b">
        <v>1</v>
      </c>
      <c r="K12" s="29" t="s">
        <v>204</v>
      </c>
      <c r="L12" s="30"/>
      <c r="M12" s="30"/>
      <c r="N12" s="31" t="s">
        <v>205</v>
      </c>
    </row>
    <row r="13" spans="1:15" ht="18" customHeight="1" thickBot="1" x14ac:dyDescent="0.4">
      <c r="A13" s="3"/>
      <c r="B13" s="62"/>
      <c r="C13" s="91"/>
      <c r="D13" s="91"/>
      <c r="E13" s="107"/>
      <c r="F13" s="107"/>
      <c r="G13" s="107"/>
      <c r="H13" s="108"/>
      <c r="J13" s="136" t="b">
        <v>1</v>
      </c>
      <c r="K13" s="29" t="s">
        <v>206</v>
      </c>
      <c r="L13" s="30"/>
      <c r="M13" s="30"/>
      <c r="N13" s="31" t="s">
        <v>207</v>
      </c>
    </row>
    <row r="14" spans="1:15" ht="18" customHeight="1" thickBot="1" x14ac:dyDescent="0.4">
      <c r="A14" s="3"/>
      <c r="B14" s="12"/>
      <c r="C14" s="3"/>
      <c r="D14" s="3"/>
      <c r="E14" s="3"/>
      <c r="F14" s="3"/>
      <c r="G14" s="3"/>
      <c r="H14" s="13"/>
      <c r="J14" s="136" t="b">
        <v>1</v>
      </c>
      <c r="K14" s="29" t="s">
        <v>208</v>
      </c>
      <c r="L14" s="30"/>
      <c r="M14" s="30"/>
      <c r="N14" s="31" t="s">
        <v>209</v>
      </c>
    </row>
    <row r="15" spans="1:15" ht="18" customHeight="1" thickBot="1" x14ac:dyDescent="0.4">
      <c r="A15" s="3"/>
      <c r="B15" s="106" t="s">
        <v>65</v>
      </c>
      <c r="C15" s="104"/>
      <c r="D15" s="104"/>
      <c r="E15" s="104" t="s">
        <v>42</v>
      </c>
      <c r="F15" s="104"/>
      <c r="G15" s="104"/>
      <c r="H15" s="105"/>
      <c r="J15" s="136" t="b">
        <v>1</v>
      </c>
      <c r="K15" s="29" t="s">
        <v>210</v>
      </c>
      <c r="L15" s="30"/>
      <c r="M15" s="30"/>
      <c r="N15" s="31" t="s">
        <v>211</v>
      </c>
    </row>
    <row r="16" spans="1:15" ht="23.4" customHeight="1" thickBot="1" x14ac:dyDescent="0.4">
      <c r="A16" s="3"/>
      <c r="B16" s="64" t="s">
        <v>43</v>
      </c>
      <c r="C16" s="65"/>
      <c r="D16" s="4"/>
      <c r="E16" s="65" t="s">
        <v>44</v>
      </c>
      <c r="F16" s="65"/>
      <c r="G16" s="57"/>
      <c r="H16" s="58"/>
      <c r="J16" s="136" t="b">
        <v>1</v>
      </c>
      <c r="K16" s="29" t="s">
        <v>212</v>
      </c>
      <c r="L16" s="30"/>
      <c r="M16" s="30"/>
      <c r="N16" s="31" t="s">
        <v>213</v>
      </c>
    </row>
    <row r="17" spans="1:14" ht="18" customHeight="1" thickBot="1" x14ac:dyDescent="0.4">
      <c r="A17" s="3"/>
      <c r="B17" s="64" t="s">
        <v>45</v>
      </c>
      <c r="C17" s="65"/>
      <c r="D17" s="4"/>
      <c r="E17" s="65" t="s">
        <v>46</v>
      </c>
      <c r="F17" s="65"/>
      <c r="G17" s="91"/>
      <c r="H17" s="92"/>
      <c r="J17" s="136" t="b">
        <v>1</v>
      </c>
      <c r="K17" s="29" t="s">
        <v>214</v>
      </c>
      <c r="L17" s="30"/>
      <c r="M17" s="30"/>
      <c r="N17" s="31" t="s">
        <v>215</v>
      </c>
    </row>
    <row r="18" spans="1:14" ht="18" customHeight="1" thickBot="1" x14ac:dyDescent="0.4">
      <c r="A18" s="3"/>
      <c r="B18" s="64" t="s">
        <v>47</v>
      </c>
      <c r="C18" s="65"/>
      <c r="D18" s="4"/>
      <c r="E18" s="65" t="s">
        <v>48</v>
      </c>
      <c r="F18" s="65"/>
      <c r="G18" s="57"/>
      <c r="H18" s="58"/>
      <c r="J18" s="136" t="b">
        <v>1</v>
      </c>
      <c r="K18" s="32" t="s">
        <v>216</v>
      </c>
      <c r="L18" s="33"/>
      <c r="M18" s="33"/>
      <c r="N18" s="34" t="s">
        <v>217</v>
      </c>
    </row>
    <row r="19" spans="1:14" ht="18" customHeight="1" thickBot="1" x14ac:dyDescent="0.4">
      <c r="A19" s="3"/>
      <c r="B19" s="64" t="s">
        <v>49</v>
      </c>
      <c r="C19" s="65"/>
      <c r="D19" s="6">
        <f>Report!$G$4</f>
        <v>0</v>
      </c>
      <c r="E19" s="65" t="s">
        <v>50</v>
      </c>
      <c r="F19" s="65"/>
      <c r="G19" s="57"/>
      <c r="H19" s="58"/>
      <c r="J19" s="136" t="b">
        <v>1</v>
      </c>
      <c r="K19" s="35" t="s">
        <v>218</v>
      </c>
      <c r="L19" s="36"/>
      <c r="M19" s="36"/>
      <c r="N19" s="37" t="s">
        <v>219</v>
      </c>
    </row>
    <row r="20" spans="1:14" ht="18" customHeight="1" thickBot="1" x14ac:dyDescent="0.4">
      <c r="A20" s="3"/>
      <c r="B20" s="118"/>
      <c r="C20" s="119"/>
      <c r="D20" s="119"/>
      <c r="E20" s="119"/>
      <c r="F20" s="119"/>
      <c r="G20" s="119"/>
      <c r="H20" s="120"/>
      <c r="J20" s="136" t="b">
        <v>1</v>
      </c>
      <c r="K20" s="29" t="s">
        <v>220</v>
      </c>
      <c r="L20" s="30"/>
      <c r="M20" s="30"/>
      <c r="N20" s="38" t="s">
        <v>221</v>
      </c>
    </row>
    <row r="21" spans="1:14" ht="2.4" customHeight="1" thickBot="1" x14ac:dyDescent="0.4">
      <c r="A21" s="3"/>
      <c r="B21" s="121"/>
      <c r="C21" s="122"/>
      <c r="D21" s="122"/>
      <c r="E21" s="122"/>
      <c r="F21" s="122"/>
      <c r="G21" s="122"/>
      <c r="H21" s="123"/>
      <c r="J21" s="136" t="b">
        <v>1</v>
      </c>
      <c r="K21" s="29" t="s">
        <v>222</v>
      </c>
      <c r="L21" s="30"/>
      <c r="M21" s="30"/>
      <c r="N21" s="38" t="s">
        <v>223</v>
      </c>
    </row>
    <row r="22" spans="1:14" ht="18" customHeight="1" thickBot="1" x14ac:dyDescent="0.4">
      <c r="A22" s="3"/>
      <c r="B22" s="70" t="s">
        <v>51</v>
      </c>
      <c r="C22" s="71"/>
      <c r="D22" s="71"/>
      <c r="E22" s="7" t="s">
        <v>54</v>
      </c>
      <c r="F22" s="81" t="s">
        <v>53</v>
      </c>
      <c r="G22" s="88" t="s">
        <v>52</v>
      </c>
      <c r="H22" s="89"/>
      <c r="J22" s="136" t="b">
        <v>1</v>
      </c>
      <c r="K22" s="29" t="s">
        <v>224</v>
      </c>
      <c r="L22" s="30"/>
      <c r="M22" s="30"/>
      <c r="N22" s="38" t="s">
        <v>225</v>
      </c>
    </row>
    <row r="23" spans="1:14" ht="18" thickBot="1" x14ac:dyDescent="0.4">
      <c r="A23" s="3"/>
      <c r="B23" s="59"/>
      <c r="C23" s="60"/>
      <c r="D23" s="61"/>
      <c r="E23" s="4"/>
      <c r="F23" s="69"/>
      <c r="G23" s="55" t="str">
        <f>IFERROR(INDEX($N$4:$N$15,MATCH(1,$N$4:$N$15,0)),"")</f>
        <v/>
      </c>
      <c r="H23" s="56"/>
      <c r="J23" s="136" t="b">
        <v>1</v>
      </c>
      <c r="K23" s="29" t="s">
        <v>226</v>
      </c>
      <c r="L23" s="30"/>
      <c r="M23" s="30"/>
      <c r="N23" s="38" t="s">
        <v>227</v>
      </c>
    </row>
    <row r="24" spans="1:14" ht="18" thickBot="1" x14ac:dyDescent="0.4">
      <c r="A24" s="3"/>
      <c r="B24" s="59"/>
      <c r="C24" s="60"/>
      <c r="D24" s="61"/>
      <c r="E24" s="4"/>
      <c r="F24" s="69"/>
      <c r="G24" s="55"/>
      <c r="H24" s="56"/>
      <c r="J24" s="136" t="b">
        <v>1</v>
      </c>
      <c r="K24" s="29" t="s">
        <v>228</v>
      </c>
      <c r="L24" s="30"/>
      <c r="M24" s="30"/>
      <c r="N24" s="38" t="s">
        <v>229</v>
      </c>
    </row>
    <row r="25" spans="1:14" ht="18" thickBot="1" x14ac:dyDescent="0.4">
      <c r="A25" s="3"/>
      <c r="B25" s="59"/>
      <c r="C25" s="60"/>
      <c r="D25" s="61"/>
      <c r="E25" s="4"/>
      <c r="F25" s="69"/>
      <c r="G25" s="55"/>
      <c r="H25" s="56"/>
      <c r="J25" s="136" t="b">
        <v>1</v>
      </c>
      <c r="K25" s="29" t="s">
        <v>230</v>
      </c>
      <c r="L25" s="30"/>
      <c r="M25" s="30"/>
      <c r="N25" s="31" t="s">
        <v>231</v>
      </c>
    </row>
    <row r="26" spans="1:14" ht="27" customHeight="1" thickBot="1" x14ac:dyDescent="0.4">
      <c r="A26" s="3"/>
      <c r="B26" s="59"/>
      <c r="C26" s="60"/>
      <c r="D26" s="61"/>
      <c r="E26" s="4"/>
      <c r="F26" s="69"/>
      <c r="G26" s="55"/>
      <c r="H26" s="56"/>
      <c r="J26" s="136" t="b">
        <v>1</v>
      </c>
      <c r="K26" s="32" t="s">
        <v>232</v>
      </c>
      <c r="L26" s="33"/>
      <c r="M26" s="33"/>
      <c r="N26" s="34" t="s">
        <v>233</v>
      </c>
    </row>
    <row r="27" spans="1:14" ht="27" thickBot="1" x14ac:dyDescent="0.4">
      <c r="A27" s="3"/>
      <c r="B27" s="59"/>
      <c r="C27" s="60"/>
      <c r="D27" s="61"/>
      <c r="E27" s="4"/>
      <c r="F27" s="69"/>
      <c r="G27" s="55"/>
      <c r="H27" s="56"/>
      <c r="J27" s="136" t="b">
        <v>1</v>
      </c>
      <c r="K27" s="35" t="s">
        <v>234</v>
      </c>
      <c r="L27" s="36"/>
      <c r="M27" s="36"/>
      <c r="N27" s="37" t="s">
        <v>235</v>
      </c>
    </row>
    <row r="28" spans="1:14" ht="27" customHeight="1" thickBot="1" x14ac:dyDescent="0.4">
      <c r="A28" s="3"/>
      <c r="B28" s="59"/>
      <c r="C28" s="60"/>
      <c r="D28" s="61"/>
      <c r="E28" s="4"/>
      <c r="F28" s="69"/>
      <c r="G28" s="55"/>
      <c r="H28" s="56"/>
      <c r="J28" s="136" t="b">
        <v>1</v>
      </c>
      <c r="K28" s="29" t="s">
        <v>236</v>
      </c>
      <c r="L28" s="30"/>
      <c r="M28" s="30"/>
      <c r="N28" s="38" t="s">
        <v>237</v>
      </c>
    </row>
    <row r="29" spans="1:14" ht="27" customHeight="1" thickBot="1" x14ac:dyDescent="0.4">
      <c r="A29" s="3"/>
      <c r="B29" s="59"/>
      <c r="C29" s="60"/>
      <c r="D29" s="61"/>
      <c r="E29" s="4"/>
      <c r="F29" s="69"/>
      <c r="G29" s="55"/>
      <c r="H29" s="56"/>
      <c r="J29" s="136" t="b">
        <v>1</v>
      </c>
      <c r="K29" s="29" t="s">
        <v>238</v>
      </c>
      <c r="L29" s="30"/>
      <c r="M29" s="30"/>
      <c r="N29" s="38" t="s">
        <v>239</v>
      </c>
    </row>
    <row r="30" spans="1:14" ht="27" thickBot="1" x14ac:dyDescent="0.4">
      <c r="A30" s="3"/>
      <c r="B30" s="59"/>
      <c r="C30" s="60"/>
      <c r="D30" s="61"/>
      <c r="E30" s="4"/>
      <c r="F30" s="69"/>
      <c r="G30" s="55"/>
      <c r="H30" s="56"/>
      <c r="J30" s="136" t="b">
        <v>1</v>
      </c>
      <c r="K30" s="29" t="s">
        <v>240</v>
      </c>
      <c r="L30" s="30"/>
      <c r="M30" s="30"/>
      <c r="N30" s="31" t="s">
        <v>241</v>
      </c>
    </row>
    <row r="31" spans="1:14" ht="27" customHeight="1" thickBot="1" x14ac:dyDescent="0.4">
      <c r="A31" s="3"/>
      <c r="B31" s="59"/>
      <c r="C31" s="60"/>
      <c r="D31" s="61"/>
      <c r="E31" s="4"/>
      <c r="F31" s="69"/>
      <c r="G31" s="55"/>
      <c r="H31" s="56"/>
      <c r="J31" s="136" t="b">
        <v>1</v>
      </c>
      <c r="K31" s="29" t="s">
        <v>242</v>
      </c>
      <c r="L31" s="30"/>
      <c r="M31" s="30"/>
      <c r="N31" s="31" t="s">
        <v>243</v>
      </c>
    </row>
    <row r="32" spans="1:14" ht="27" thickBot="1" x14ac:dyDescent="0.4">
      <c r="A32" s="3"/>
      <c r="B32" s="59"/>
      <c r="C32" s="60"/>
      <c r="D32" s="61"/>
      <c r="E32" s="10"/>
      <c r="F32" s="15"/>
      <c r="G32" s="128"/>
      <c r="H32" s="129"/>
      <c r="J32" s="136" t="b">
        <v>1</v>
      </c>
      <c r="K32" s="29" t="s">
        <v>242</v>
      </c>
      <c r="L32" s="30"/>
      <c r="M32" s="30"/>
      <c r="N32" s="31" t="s">
        <v>244</v>
      </c>
    </row>
    <row r="33" spans="1:14" ht="27" customHeight="1" thickBot="1" x14ac:dyDescent="0.4">
      <c r="A33" s="3"/>
      <c r="B33" s="59"/>
      <c r="C33" s="60"/>
      <c r="D33" s="61"/>
      <c r="E33" s="8"/>
      <c r="F33" s="127"/>
      <c r="G33" s="55"/>
      <c r="H33" s="56"/>
      <c r="J33" s="136" t="b">
        <v>1</v>
      </c>
      <c r="K33" s="29" t="s">
        <v>245</v>
      </c>
      <c r="L33" s="30"/>
      <c r="M33" s="30"/>
      <c r="N33" s="39" t="s">
        <v>246</v>
      </c>
    </row>
    <row r="34" spans="1:14" ht="27" customHeight="1" thickBot="1" x14ac:dyDescent="0.4">
      <c r="A34" s="3"/>
      <c r="B34" s="59"/>
      <c r="C34" s="60"/>
      <c r="D34" s="61"/>
      <c r="E34" s="8"/>
      <c r="F34" s="16"/>
      <c r="G34" s="55"/>
      <c r="H34" s="56"/>
      <c r="J34" s="136" t="b">
        <v>1</v>
      </c>
      <c r="K34" s="29" t="s">
        <v>247</v>
      </c>
      <c r="L34" s="30"/>
      <c r="M34" s="30"/>
      <c r="N34" s="39" t="s">
        <v>248</v>
      </c>
    </row>
    <row r="35" spans="1:14" ht="27" customHeight="1" thickBot="1" x14ac:dyDescent="0.4">
      <c r="A35" s="3"/>
      <c r="B35" s="59"/>
      <c r="C35" s="60"/>
      <c r="D35" s="61"/>
      <c r="E35" s="8"/>
      <c r="F35" s="16"/>
      <c r="G35" s="55"/>
      <c r="H35" s="56"/>
      <c r="J35" s="136" t="b">
        <v>1</v>
      </c>
      <c r="K35" s="35" t="s">
        <v>249</v>
      </c>
      <c r="L35" s="36"/>
      <c r="M35" s="36"/>
      <c r="N35" s="40" t="s">
        <v>250</v>
      </c>
    </row>
    <row r="36" spans="1:14" ht="27" customHeight="1" thickBot="1" x14ac:dyDescent="0.4">
      <c r="A36" s="3"/>
      <c r="B36" s="59"/>
      <c r="C36" s="60"/>
      <c r="D36" s="61"/>
      <c r="E36" s="8"/>
      <c r="F36" s="16"/>
      <c r="G36" s="55"/>
      <c r="H36" s="56"/>
      <c r="J36" s="136" t="b">
        <v>1</v>
      </c>
      <c r="K36" s="29" t="s">
        <v>251</v>
      </c>
      <c r="L36" s="30"/>
      <c r="M36" s="30"/>
      <c r="N36" s="38" t="s">
        <v>252</v>
      </c>
    </row>
    <row r="37" spans="1:14" ht="27" customHeight="1" thickBot="1" x14ac:dyDescent="0.4">
      <c r="A37" s="3"/>
      <c r="B37" s="59"/>
      <c r="C37" s="60"/>
      <c r="D37" s="61"/>
      <c r="E37" s="8"/>
      <c r="F37" s="16"/>
      <c r="G37" s="55"/>
      <c r="H37" s="56"/>
      <c r="J37" s="136" t="b">
        <v>1</v>
      </c>
      <c r="K37" s="29" t="s">
        <v>253</v>
      </c>
      <c r="L37" s="30"/>
      <c r="M37" s="30"/>
      <c r="N37" s="38" t="s">
        <v>254</v>
      </c>
    </row>
    <row r="38" spans="1:14" ht="27" customHeight="1" thickBot="1" x14ac:dyDescent="0.4">
      <c r="A38" s="3"/>
      <c r="B38" s="59"/>
      <c r="C38" s="60"/>
      <c r="D38" s="61"/>
      <c r="E38" s="8"/>
      <c r="F38" s="16"/>
      <c r="G38" s="55"/>
      <c r="H38" s="56"/>
      <c r="J38" s="136" t="b">
        <v>1</v>
      </c>
      <c r="K38" s="29" t="s">
        <v>255</v>
      </c>
      <c r="L38" s="30"/>
      <c r="M38" s="30"/>
      <c r="N38" s="31" t="s">
        <v>256</v>
      </c>
    </row>
    <row r="39" spans="1:14" ht="27" customHeight="1" thickBot="1" x14ac:dyDescent="0.4">
      <c r="A39" s="3"/>
      <c r="B39" s="59"/>
      <c r="C39" s="60"/>
      <c r="D39" s="61"/>
      <c r="E39" s="8"/>
      <c r="F39" s="16"/>
      <c r="G39" s="55"/>
      <c r="H39" s="56"/>
      <c r="J39" s="136" t="b">
        <v>1</v>
      </c>
      <c r="K39" s="29" t="s">
        <v>257</v>
      </c>
      <c r="L39" s="30"/>
      <c r="M39" s="30"/>
      <c r="N39" s="38" t="s">
        <v>258</v>
      </c>
    </row>
    <row r="40" spans="1:14" ht="27" customHeight="1" thickBot="1" x14ac:dyDescent="0.4">
      <c r="A40" s="3"/>
      <c r="B40" s="59"/>
      <c r="C40" s="60"/>
      <c r="D40" s="61"/>
      <c r="E40" s="14"/>
      <c r="F40" s="17"/>
      <c r="G40" s="116"/>
      <c r="H40" s="117"/>
      <c r="J40" s="136" t="b">
        <v>1</v>
      </c>
      <c r="K40" s="29" t="s">
        <v>259</v>
      </c>
      <c r="L40" s="30"/>
      <c r="M40" s="30"/>
      <c r="N40" s="38" t="s">
        <v>260</v>
      </c>
    </row>
    <row r="41" spans="1:14" ht="4.2" customHeight="1" thickBot="1" x14ac:dyDescent="0.4">
      <c r="A41" s="3"/>
      <c r="B41" s="124"/>
      <c r="C41" s="125"/>
      <c r="D41" s="125"/>
      <c r="E41" s="125"/>
      <c r="F41" s="125"/>
      <c r="G41" s="125"/>
      <c r="H41" s="126"/>
      <c r="J41" s="136" t="b">
        <v>1</v>
      </c>
      <c r="K41" s="29" t="s">
        <v>261</v>
      </c>
      <c r="L41" s="30"/>
      <c r="M41" s="30"/>
      <c r="N41" s="31" t="s">
        <v>262</v>
      </c>
    </row>
    <row r="42" spans="1:14" ht="27" thickBot="1" x14ac:dyDescent="0.4">
      <c r="A42" s="3"/>
      <c r="B42" s="111" t="s">
        <v>67</v>
      </c>
      <c r="C42" s="112"/>
      <c r="D42" s="112"/>
      <c r="E42" s="112"/>
      <c r="F42" s="112"/>
      <c r="G42" s="112"/>
      <c r="H42" s="113"/>
      <c r="J42" s="136" t="b">
        <v>1</v>
      </c>
      <c r="K42" s="35" t="s">
        <v>263</v>
      </c>
      <c r="L42" s="36"/>
      <c r="M42" s="36"/>
      <c r="N42" s="37" t="s">
        <v>264</v>
      </c>
    </row>
    <row r="43" spans="1:14" ht="18" customHeight="1" thickBot="1" x14ac:dyDescent="0.4">
      <c r="A43" s="3"/>
      <c r="B43" s="86" t="s">
        <v>55</v>
      </c>
      <c r="C43" s="87"/>
      <c r="D43" s="87"/>
      <c r="E43" s="9" t="s">
        <v>56</v>
      </c>
      <c r="F43" s="87" t="s">
        <v>57</v>
      </c>
      <c r="G43" s="87"/>
      <c r="H43" s="110"/>
      <c r="J43" s="136" t="b">
        <v>1</v>
      </c>
      <c r="K43" s="29" t="s">
        <v>265</v>
      </c>
      <c r="L43" s="30"/>
      <c r="M43" s="30"/>
      <c r="N43" s="38" t="s">
        <v>266</v>
      </c>
    </row>
    <row r="44" spans="1:14" ht="40.799999999999997" customHeight="1" thickBot="1" x14ac:dyDescent="0.4">
      <c r="A44" s="3"/>
      <c r="B44" s="85" t="s">
        <v>105</v>
      </c>
      <c r="C44" s="82"/>
      <c r="D44" s="82"/>
      <c r="E44" s="11">
        <f ca="1">TODAY()</f>
        <v>46067</v>
      </c>
      <c r="F44" s="82"/>
      <c r="G44" s="82"/>
      <c r="H44" s="83"/>
      <c r="J44" s="136" t="b">
        <v>1</v>
      </c>
      <c r="K44" s="29" t="s">
        <v>267</v>
      </c>
      <c r="L44" s="30"/>
      <c r="M44" s="30"/>
      <c r="N44" s="38" t="s">
        <v>268</v>
      </c>
    </row>
    <row r="45" spans="1:14" ht="18" customHeight="1" thickBot="1" x14ac:dyDescent="0.4">
      <c r="A45" s="3"/>
      <c r="B45" s="64" t="s">
        <v>58</v>
      </c>
      <c r="C45" s="65"/>
      <c r="D45" s="65"/>
      <c r="E45" s="5"/>
      <c r="F45" s="65" t="s">
        <v>59</v>
      </c>
      <c r="G45" s="65"/>
      <c r="H45" s="84"/>
      <c r="J45" s="136" t="b">
        <v>1</v>
      </c>
      <c r="K45" s="29" t="s">
        <v>267</v>
      </c>
      <c r="L45" s="30"/>
      <c r="M45" s="30"/>
      <c r="N45" s="31" t="s">
        <v>269</v>
      </c>
    </row>
    <row r="46" spans="1:14" ht="41.4" customHeight="1" thickBot="1" x14ac:dyDescent="0.4">
      <c r="A46" s="3"/>
      <c r="B46" s="85" t="s">
        <v>105</v>
      </c>
      <c r="C46" s="82"/>
      <c r="D46" s="82"/>
      <c r="E46" s="11">
        <f ca="1">TODAY()</f>
        <v>46067</v>
      </c>
      <c r="F46" s="114"/>
      <c r="G46" s="114"/>
      <c r="H46" s="115"/>
      <c r="J46" s="136" t="b">
        <v>1</v>
      </c>
      <c r="K46" s="29" t="s">
        <v>270</v>
      </c>
      <c r="L46" s="30"/>
      <c r="M46" s="30"/>
      <c r="N46" s="38" t="s">
        <v>271</v>
      </c>
    </row>
    <row r="47" spans="1:14" ht="18" customHeight="1" thickBot="1" x14ac:dyDescent="0.35">
      <c r="J47" s="136" t="b">
        <v>1</v>
      </c>
      <c r="K47" s="29" t="s">
        <v>272</v>
      </c>
      <c r="L47" s="30"/>
      <c r="M47" s="30"/>
      <c r="N47" s="38" t="s">
        <v>273</v>
      </c>
    </row>
    <row r="48" spans="1:14" ht="18" customHeight="1" thickBot="1" x14ac:dyDescent="0.35">
      <c r="B48" s="109"/>
      <c r="C48" s="109"/>
      <c r="D48" s="109"/>
      <c r="E48" s="109"/>
      <c r="F48" s="109"/>
      <c r="G48" s="109"/>
      <c r="H48" s="109"/>
      <c r="J48" s="136" t="b">
        <v>1</v>
      </c>
      <c r="K48" s="29" t="s">
        <v>274</v>
      </c>
      <c r="L48" s="30"/>
      <c r="M48" s="30"/>
      <c r="N48" s="31" t="s">
        <v>275</v>
      </c>
    </row>
    <row r="49" spans="10:14" ht="18" customHeight="1" thickBot="1" x14ac:dyDescent="0.35">
      <c r="J49" s="136" t="b">
        <v>1</v>
      </c>
      <c r="K49" s="35" t="s">
        <v>276</v>
      </c>
      <c r="L49" s="36"/>
      <c r="M49" s="36"/>
      <c r="N49" s="37" t="s">
        <v>277</v>
      </c>
    </row>
    <row r="50" spans="10:14" ht="18" customHeight="1" thickBot="1" x14ac:dyDescent="0.35">
      <c r="J50" s="136" t="b">
        <v>1</v>
      </c>
      <c r="K50" s="29" t="s">
        <v>278</v>
      </c>
      <c r="L50" s="30"/>
      <c r="M50" s="30"/>
      <c r="N50" s="38" t="s">
        <v>279</v>
      </c>
    </row>
    <row r="51" spans="10:14" ht="18" customHeight="1" thickBot="1" x14ac:dyDescent="0.35">
      <c r="J51" s="136" t="b">
        <v>1</v>
      </c>
      <c r="K51" s="29" t="s">
        <v>280</v>
      </c>
      <c r="L51" s="30"/>
      <c r="M51" s="30"/>
      <c r="N51" s="38" t="s">
        <v>281</v>
      </c>
    </row>
    <row r="52" spans="10:14" ht="18" customHeight="1" thickBot="1" x14ac:dyDescent="0.35">
      <c r="J52" s="136" t="b">
        <v>1</v>
      </c>
      <c r="K52" s="29" t="s">
        <v>282</v>
      </c>
      <c r="L52" s="30"/>
      <c r="M52" s="30"/>
      <c r="N52" s="38" t="s">
        <v>283</v>
      </c>
    </row>
    <row r="53" spans="10:14" ht="18" customHeight="1" thickBot="1" x14ac:dyDescent="0.35">
      <c r="J53" s="136" t="b">
        <v>1</v>
      </c>
      <c r="K53" s="29" t="s">
        <v>284</v>
      </c>
      <c r="L53" s="30"/>
      <c r="M53" s="30"/>
      <c r="N53" s="38" t="s">
        <v>285</v>
      </c>
    </row>
    <row r="54" spans="10:14" ht="18" customHeight="1" thickBot="1" x14ac:dyDescent="0.35">
      <c r="J54" s="136" t="b">
        <v>1</v>
      </c>
      <c r="K54" s="29" t="s">
        <v>286</v>
      </c>
      <c r="L54" s="30"/>
      <c r="M54" s="30"/>
      <c r="N54" s="38" t="s">
        <v>287</v>
      </c>
    </row>
    <row r="55" spans="10:14" ht="18" customHeight="1" x14ac:dyDescent="0.3"/>
    <row r="56" spans="10:14" ht="18" customHeight="1" x14ac:dyDescent="0.3"/>
    <row r="57" spans="10:14" ht="18" customHeight="1" x14ac:dyDescent="0.3"/>
    <row r="58" spans="10:14" ht="18" customHeight="1" x14ac:dyDescent="0.3"/>
    <row r="59" spans="10:14" ht="18" customHeight="1" x14ac:dyDescent="0.3"/>
    <row r="60" spans="10:14" ht="18" customHeight="1" x14ac:dyDescent="0.3"/>
    <row r="61" spans="10:14" ht="18" customHeight="1" x14ac:dyDescent="0.3"/>
    <row r="62" spans="10:14" ht="18" customHeight="1" x14ac:dyDescent="0.3"/>
    <row r="63" spans="10:14" ht="18" customHeight="1" x14ac:dyDescent="0.3"/>
    <row r="64" spans="10:14" ht="18" customHeight="1" x14ac:dyDescent="0.3"/>
    <row r="65" ht="18" customHeight="1" x14ac:dyDescent="0.3"/>
    <row r="66" ht="18" customHeight="1" x14ac:dyDescent="0.3"/>
    <row r="67" ht="18" customHeight="1" x14ac:dyDescent="0.3"/>
  </sheetData>
  <mergeCells count="89">
    <mergeCell ref="G39:H39"/>
    <mergeCell ref="B40:D40"/>
    <mergeCell ref="G40:H40"/>
    <mergeCell ref="B20:H21"/>
    <mergeCell ref="B41:H41"/>
    <mergeCell ref="F26"/>
    <mergeCell ref="B29:D29"/>
    <mergeCell ref="F33"/>
    <mergeCell ref="B28:D28"/>
    <mergeCell ref="F29"/>
    <mergeCell ref="F31"/>
    <mergeCell ref="G33:H33"/>
    <mergeCell ref="G31:H31"/>
    <mergeCell ref="G32:H32"/>
    <mergeCell ref="B48:H48"/>
    <mergeCell ref="B30:D30"/>
    <mergeCell ref="E18:F18"/>
    <mergeCell ref="F30"/>
    <mergeCell ref="F43:H43"/>
    <mergeCell ref="B46:D46"/>
    <mergeCell ref="B18:C18"/>
    <mergeCell ref="G18:H18"/>
    <mergeCell ref="B34:D34"/>
    <mergeCell ref="G34:H34"/>
    <mergeCell ref="B42:H42"/>
    <mergeCell ref="B35:D35"/>
    <mergeCell ref="G35:H35"/>
    <mergeCell ref="B36:D36"/>
    <mergeCell ref="G36:H36"/>
    <mergeCell ref="F46:H46"/>
    <mergeCell ref="B27:D27"/>
    <mergeCell ref="F25"/>
    <mergeCell ref="B12:B13"/>
    <mergeCell ref="B16:C16"/>
    <mergeCell ref="F24"/>
    <mergeCell ref="E15:H15"/>
    <mergeCell ref="B15:D15"/>
    <mergeCell ref="E12:H13"/>
    <mergeCell ref="G16:H16"/>
    <mergeCell ref="B25:D25"/>
    <mergeCell ref="G17:H17"/>
    <mergeCell ref="B39:D39"/>
    <mergeCell ref="B31:D31"/>
    <mergeCell ref="G1:H1"/>
    <mergeCell ref="B33:D33"/>
    <mergeCell ref="B32:D32"/>
    <mergeCell ref="B26:D26"/>
    <mergeCell ref="B19:C19"/>
    <mergeCell ref="D8:H10"/>
    <mergeCell ref="C12:D13"/>
    <mergeCell ref="G3:H3"/>
    <mergeCell ref="E17:F17"/>
    <mergeCell ref="E19:F19"/>
    <mergeCell ref="B23:D23"/>
    <mergeCell ref="G2:H2"/>
    <mergeCell ref="B2:C4"/>
    <mergeCell ref="G4:H4"/>
    <mergeCell ref="B22:D22"/>
    <mergeCell ref="E16:F16"/>
    <mergeCell ref="B5:F7"/>
    <mergeCell ref="B45:D45"/>
    <mergeCell ref="F22"/>
    <mergeCell ref="F28"/>
    <mergeCell ref="F44:H44"/>
    <mergeCell ref="F23"/>
    <mergeCell ref="F45:H45"/>
    <mergeCell ref="B44:D44"/>
    <mergeCell ref="B43:D43"/>
    <mergeCell ref="G22:H22"/>
    <mergeCell ref="B37:D37"/>
    <mergeCell ref="G37:H37"/>
    <mergeCell ref="B38:D38"/>
    <mergeCell ref="G38:H38"/>
    <mergeCell ref="G5:H7"/>
    <mergeCell ref="D2:F3"/>
    <mergeCell ref="G28:H28"/>
    <mergeCell ref="G29:H29"/>
    <mergeCell ref="G30:H30"/>
    <mergeCell ref="G23:H23"/>
    <mergeCell ref="G24:H24"/>
    <mergeCell ref="G25:H25"/>
    <mergeCell ref="G26:H26"/>
    <mergeCell ref="G27:H27"/>
    <mergeCell ref="G19:H19"/>
    <mergeCell ref="B24:D24"/>
    <mergeCell ref="B8:C10"/>
    <mergeCell ref="B17:C17"/>
    <mergeCell ref="D4:F4"/>
    <mergeCell ref="F27"/>
  </mergeCells>
  <dataValidations disablePrompts="1" count="1">
    <dataValidation type="list" allowBlank="1" sqref="C12" xr:uid="{00000000-0002-0000-0100-000000000000}">
      <formula1>LabUnitList</formula1>
    </dataValidation>
  </dataValidations>
  <pageMargins left="0.25" right="0.25" top="0.75" bottom="0.75" header="0.3" footer="0.3"/>
  <pageSetup paperSize="9" scale="9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Button 4">
              <controlPr defaultSize="0" print="0" autoFill="0" autoPict="0">
                <anchor moveWithCells="1" sizeWithCells="1">
                  <from>
                    <xdr:col>6</xdr:col>
                    <xdr:colOff>68580</xdr:colOff>
                    <xdr:row>0</xdr:row>
                    <xdr:rowOff>45720</xdr:rowOff>
                  </from>
                  <to>
                    <xdr:col>7</xdr:col>
                    <xdr:colOff>944880</xdr:colOff>
                    <xdr:row>0</xdr:row>
                    <xdr:rowOff>251460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935161E-628D-4E92-AE7E-CA815A95C44E}">
          <x14:formula1>
            <xm:f>Sheet1!$A$3:$A$63</xm:f>
          </x14:formula1>
          <xm:sqref>B44:D44 B46:D46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D487-A73A-4575-A851-A755621F5DC5}">
  <sheetPr codeName="Sheet3"/>
  <dimension ref="A1:B63"/>
  <sheetViews>
    <sheetView workbookViewId="0">
      <selection activeCell="B4" sqref="B4"/>
    </sheetView>
  </sheetViews>
  <sheetFormatPr defaultRowHeight="14.4" x14ac:dyDescent="0.3"/>
  <cols>
    <col min="1" max="1" width="28.109375" bestFit="1" customWidth="1"/>
    <col min="2" max="2" width="7.77734375" bestFit="1" customWidth="1"/>
  </cols>
  <sheetData>
    <row r="1" spans="1:2" x14ac:dyDescent="0.3">
      <c r="A1" s="130" t="s">
        <v>69</v>
      </c>
      <c r="B1" s="132" t="s">
        <v>70</v>
      </c>
    </row>
    <row r="2" spans="1:2" ht="15" thickBot="1" x14ac:dyDescent="0.35">
      <c r="A2" s="131"/>
      <c r="B2" s="133"/>
    </row>
    <row r="3" spans="1:2" x14ac:dyDescent="0.3">
      <c r="A3" s="18" t="s">
        <v>71</v>
      </c>
      <c r="B3" s="19" t="s">
        <v>72</v>
      </c>
    </row>
    <row r="4" spans="1:2" x14ac:dyDescent="0.3">
      <c r="A4" s="18" t="s">
        <v>73</v>
      </c>
      <c r="B4" s="19" t="s">
        <v>74</v>
      </c>
    </row>
    <row r="5" spans="1:2" x14ac:dyDescent="0.3">
      <c r="A5" s="18" t="s">
        <v>75</v>
      </c>
      <c r="B5" s="19" t="s">
        <v>76</v>
      </c>
    </row>
    <row r="6" spans="1:2" x14ac:dyDescent="0.3">
      <c r="A6" s="18" t="s">
        <v>77</v>
      </c>
      <c r="B6" s="19" t="s">
        <v>78</v>
      </c>
    </row>
    <row r="7" spans="1:2" x14ac:dyDescent="0.3">
      <c r="A7" s="18" t="s">
        <v>79</v>
      </c>
      <c r="B7" s="19" t="s">
        <v>80</v>
      </c>
    </row>
    <row r="8" spans="1:2" x14ac:dyDescent="0.3">
      <c r="A8" s="18" t="s">
        <v>81</v>
      </c>
      <c r="B8" s="19" t="s">
        <v>82</v>
      </c>
    </row>
    <row r="9" spans="1:2" x14ac:dyDescent="0.3">
      <c r="A9" s="18" t="s">
        <v>83</v>
      </c>
      <c r="B9" s="19" t="s">
        <v>84</v>
      </c>
    </row>
    <row r="10" spans="1:2" x14ac:dyDescent="0.3">
      <c r="A10" s="18" t="s">
        <v>85</v>
      </c>
      <c r="B10" s="19" t="s">
        <v>86</v>
      </c>
    </row>
    <row r="11" spans="1:2" x14ac:dyDescent="0.3">
      <c r="A11" s="18" t="s">
        <v>87</v>
      </c>
      <c r="B11" s="19" t="s">
        <v>88</v>
      </c>
    </row>
    <row r="12" spans="1:2" x14ac:dyDescent="0.3">
      <c r="A12" s="18" t="s">
        <v>89</v>
      </c>
      <c r="B12" s="19" t="s">
        <v>90</v>
      </c>
    </row>
    <row r="13" spans="1:2" x14ac:dyDescent="0.3">
      <c r="A13" s="18" t="s">
        <v>91</v>
      </c>
      <c r="B13" s="19" t="s">
        <v>92</v>
      </c>
    </row>
    <row r="14" spans="1:2" x14ac:dyDescent="0.3">
      <c r="A14" s="18" t="s">
        <v>93</v>
      </c>
      <c r="B14" s="19" t="s">
        <v>94</v>
      </c>
    </row>
    <row r="15" spans="1:2" x14ac:dyDescent="0.3">
      <c r="A15" s="18" t="s">
        <v>95</v>
      </c>
      <c r="B15" s="19" t="s">
        <v>96</v>
      </c>
    </row>
    <row r="16" spans="1:2" x14ac:dyDescent="0.3">
      <c r="A16" s="18" t="s">
        <v>97</v>
      </c>
      <c r="B16" s="19" t="s">
        <v>98</v>
      </c>
    </row>
    <row r="17" spans="1:2" x14ac:dyDescent="0.3">
      <c r="A17" s="18" t="s">
        <v>99</v>
      </c>
      <c r="B17" s="19" t="s">
        <v>100</v>
      </c>
    </row>
    <row r="18" spans="1:2" x14ac:dyDescent="0.3">
      <c r="A18" s="18" t="s">
        <v>101</v>
      </c>
      <c r="B18" s="19" t="s">
        <v>102</v>
      </c>
    </row>
    <row r="19" spans="1:2" x14ac:dyDescent="0.3">
      <c r="A19" s="18" t="s">
        <v>103</v>
      </c>
      <c r="B19" s="19" t="s">
        <v>104</v>
      </c>
    </row>
    <row r="20" spans="1:2" x14ac:dyDescent="0.3">
      <c r="A20" s="18" t="s">
        <v>105</v>
      </c>
      <c r="B20" s="19" t="s">
        <v>106</v>
      </c>
    </row>
    <row r="21" spans="1:2" x14ac:dyDescent="0.3">
      <c r="A21" s="18" t="s">
        <v>107</v>
      </c>
      <c r="B21" s="19" t="s">
        <v>108</v>
      </c>
    </row>
    <row r="22" spans="1:2" x14ac:dyDescent="0.3">
      <c r="A22" s="18" t="s">
        <v>109</v>
      </c>
      <c r="B22" s="19" t="s">
        <v>110</v>
      </c>
    </row>
    <row r="23" spans="1:2" x14ac:dyDescent="0.3">
      <c r="A23" s="18" t="s">
        <v>111</v>
      </c>
      <c r="B23" s="19" t="s">
        <v>112</v>
      </c>
    </row>
    <row r="24" spans="1:2" x14ac:dyDescent="0.3">
      <c r="A24" s="18" t="s">
        <v>113</v>
      </c>
      <c r="B24" s="19" t="s">
        <v>114</v>
      </c>
    </row>
    <row r="25" spans="1:2" x14ac:dyDescent="0.3">
      <c r="A25" s="18" t="s">
        <v>115</v>
      </c>
      <c r="B25" s="19" t="s">
        <v>116</v>
      </c>
    </row>
    <row r="26" spans="1:2" x14ac:dyDescent="0.3">
      <c r="A26" s="18" t="s">
        <v>117</v>
      </c>
      <c r="B26" s="19" t="s">
        <v>118</v>
      </c>
    </row>
    <row r="27" spans="1:2" x14ac:dyDescent="0.3">
      <c r="A27" s="18" t="s">
        <v>119</v>
      </c>
      <c r="B27" s="19" t="s">
        <v>120</v>
      </c>
    </row>
    <row r="28" spans="1:2" x14ac:dyDescent="0.3">
      <c r="A28" s="18" t="s">
        <v>121</v>
      </c>
      <c r="B28" s="19" t="s">
        <v>122</v>
      </c>
    </row>
    <row r="29" spans="1:2" x14ac:dyDescent="0.3">
      <c r="A29" s="18" t="s">
        <v>123</v>
      </c>
      <c r="B29" s="19" t="s">
        <v>124</v>
      </c>
    </row>
    <row r="30" spans="1:2" x14ac:dyDescent="0.3">
      <c r="A30" s="18" t="s">
        <v>125</v>
      </c>
      <c r="B30" s="19" t="s">
        <v>126</v>
      </c>
    </row>
    <row r="31" spans="1:2" x14ac:dyDescent="0.3">
      <c r="A31" s="18" t="s">
        <v>127</v>
      </c>
      <c r="B31" s="19" t="s">
        <v>128</v>
      </c>
    </row>
    <row r="32" spans="1:2" x14ac:dyDescent="0.3">
      <c r="A32" s="18" t="s">
        <v>129</v>
      </c>
      <c r="B32" s="19" t="s">
        <v>130</v>
      </c>
    </row>
    <row r="33" spans="1:2" x14ac:dyDescent="0.3">
      <c r="A33" s="18" t="s">
        <v>131</v>
      </c>
      <c r="B33" s="19" t="s">
        <v>132</v>
      </c>
    </row>
    <row r="34" spans="1:2" x14ac:dyDescent="0.3">
      <c r="A34" s="18" t="s">
        <v>133</v>
      </c>
      <c r="B34" s="19" t="s">
        <v>134</v>
      </c>
    </row>
    <row r="35" spans="1:2" x14ac:dyDescent="0.3">
      <c r="A35" s="18" t="s">
        <v>135</v>
      </c>
      <c r="B35" s="19" t="s">
        <v>124</v>
      </c>
    </row>
    <row r="36" spans="1:2" x14ac:dyDescent="0.3">
      <c r="A36" s="18" t="s">
        <v>136</v>
      </c>
      <c r="B36" s="19" t="s">
        <v>137</v>
      </c>
    </row>
    <row r="37" spans="1:2" x14ac:dyDescent="0.3">
      <c r="A37" s="18" t="s">
        <v>138</v>
      </c>
      <c r="B37" s="19" t="s">
        <v>139</v>
      </c>
    </row>
    <row r="38" spans="1:2" x14ac:dyDescent="0.3">
      <c r="A38" s="18" t="s">
        <v>140</v>
      </c>
      <c r="B38" s="19" t="s">
        <v>110</v>
      </c>
    </row>
    <row r="39" spans="1:2" x14ac:dyDescent="0.3">
      <c r="A39" s="18" t="s">
        <v>141</v>
      </c>
      <c r="B39" s="19" t="s">
        <v>142</v>
      </c>
    </row>
    <row r="40" spans="1:2" x14ac:dyDescent="0.3">
      <c r="A40" s="18" t="s">
        <v>143</v>
      </c>
      <c r="B40" s="19" t="s">
        <v>144</v>
      </c>
    </row>
    <row r="41" spans="1:2" x14ac:dyDescent="0.3">
      <c r="A41" s="18" t="s">
        <v>145</v>
      </c>
      <c r="B41" s="19" t="s">
        <v>146</v>
      </c>
    </row>
    <row r="42" spans="1:2" x14ac:dyDescent="0.3">
      <c r="A42" s="18" t="s">
        <v>147</v>
      </c>
      <c r="B42" s="19" t="s">
        <v>148</v>
      </c>
    </row>
    <row r="43" spans="1:2" ht="15" thickBot="1" x14ac:dyDescent="0.35">
      <c r="A43" s="20" t="s">
        <v>149</v>
      </c>
      <c r="B43" s="21" t="s">
        <v>150</v>
      </c>
    </row>
    <row r="44" spans="1:2" x14ac:dyDescent="0.3">
      <c r="A44" s="22" t="s">
        <v>151</v>
      </c>
      <c r="B44" s="19" t="s">
        <v>152</v>
      </c>
    </row>
    <row r="45" spans="1:2" x14ac:dyDescent="0.3">
      <c r="A45" s="22" t="s">
        <v>153</v>
      </c>
      <c r="B45" s="19" t="s">
        <v>154</v>
      </c>
    </row>
    <row r="46" spans="1:2" x14ac:dyDescent="0.3">
      <c r="A46" s="22" t="s">
        <v>155</v>
      </c>
      <c r="B46" s="19" t="s">
        <v>156</v>
      </c>
    </row>
    <row r="47" spans="1:2" x14ac:dyDescent="0.3">
      <c r="A47" s="22" t="s">
        <v>157</v>
      </c>
      <c r="B47" s="19" t="s">
        <v>158</v>
      </c>
    </row>
    <row r="48" spans="1:2" x14ac:dyDescent="0.3">
      <c r="A48" s="22" t="s">
        <v>159</v>
      </c>
      <c r="B48" s="19" t="s">
        <v>160</v>
      </c>
    </row>
    <row r="49" spans="1:2" x14ac:dyDescent="0.3">
      <c r="A49" s="22" t="s">
        <v>161</v>
      </c>
      <c r="B49" s="19" t="s">
        <v>162</v>
      </c>
    </row>
    <row r="50" spans="1:2" x14ac:dyDescent="0.3">
      <c r="A50" s="22" t="s">
        <v>163</v>
      </c>
      <c r="B50" s="19" t="s">
        <v>164</v>
      </c>
    </row>
    <row r="51" spans="1:2" x14ac:dyDescent="0.3">
      <c r="A51" s="22" t="s">
        <v>165</v>
      </c>
      <c r="B51" s="19" t="s">
        <v>166</v>
      </c>
    </row>
    <row r="52" spans="1:2" x14ac:dyDescent="0.3">
      <c r="A52" s="22" t="s">
        <v>167</v>
      </c>
      <c r="B52" s="19" t="s">
        <v>98</v>
      </c>
    </row>
    <row r="53" spans="1:2" x14ac:dyDescent="0.3">
      <c r="A53" s="22" t="s">
        <v>168</v>
      </c>
      <c r="B53" s="19" t="s">
        <v>169</v>
      </c>
    </row>
    <row r="54" spans="1:2" x14ac:dyDescent="0.3">
      <c r="A54" s="22" t="s">
        <v>170</v>
      </c>
      <c r="B54" s="19" t="s">
        <v>104</v>
      </c>
    </row>
    <row r="55" spans="1:2" x14ac:dyDescent="0.3">
      <c r="A55" s="22" t="s">
        <v>171</v>
      </c>
      <c r="B55" s="19" t="s">
        <v>172</v>
      </c>
    </row>
    <row r="56" spans="1:2" x14ac:dyDescent="0.3">
      <c r="A56" s="22" t="s">
        <v>173</v>
      </c>
      <c r="B56" s="19" t="s">
        <v>174</v>
      </c>
    </row>
    <row r="57" spans="1:2" x14ac:dyDescent="0.3">
      <c r="A57" s="23" t="s">
        <v>175</v>
      </c>
      <c r="B57" s="24" t="s">
        <v>176</v>
      </c>
    </row>
    <row r="58" spans="1:2" x14ac:dyDescent="0.3">
      <c r="A58" s="18" t="s">
        <v>177</v>
      </c>
      <c r="B58" s="19" t="s">
        <v>178</v>
      </c>
    </row>
    <row r="59" spans="1:2" x14ac:dyDescent="0.3">
      <c r="A59" s="18" t="s">
        <v>179</v>
      </c>
      <c r="B59" s="19" t="s">
        <v>180</v>
      </c>
    </row>
    <row r="60" spans="1:2" x14ac:dyDescent="0.3">
      <c r="A60" s="18" t="s">
        <v>181</v>
      </c>
      <c r="B60" s="19" t="s">
        <v>182</v>
      </c>
    </row>
    <row r="61" spans="1:2" x14ac:dyDescent="0.3">
      <c r="A61" s="18" t="s">
        <v>183</v>
      </c>
      <c r="B61" s="19" t="s">
        <v>184</v>
      </c>
    </row>
    <row r="62" spans="1:2" x14ac:dyDescent="0.3">
      <c r="A62" s="18" t="s">
        <v>185</v>
      </c>
      <c r="B62" s="19" t="s">
        <v>186</v>
      </c>
    </row>
    <row r="63" spans="1:2" x14ac:dyDescent="0.3">
      <c r="A63" s="22" t="s">
        <v>187</v>
      </c>
      <c r="B63" s="19" t="s">
        <v>139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5EBC-DC19-4862-B466-FD57F305E334}">
  <sheetPr codeName="Sheet5"/>
  <dimension ref="D5:F55"/>
  <sheetViews>
    <sheetView zoomScale="40" zoomScaleNormal="40" workbookViewId="0">
      <selection activeCell="P52" sqref="P52"/>
    </sheetView>
  </sheetViews>
  <sheetFormatPr defaultRowHeight="14.4" x14ac:dyDescent="0.3"/>
  <cols>
    <col min="5" max="5" width="55.44140625" bestFit="1" customWidth="1"/>
    <col min="6" max="6" width="18.88671875" bestFit="1" customWidth="1"/>
  </cols>
  <sheetData>
    <row r="5" spans="4:6" x14ac:dyDescent="0.3">
      <c r="D5">
        <v>1</v>
      </c>
      <c r="E5" t="s">
        <v>188</v>
      </c>
      <c r="F5" t="s">
        <v>195</v>
      </c>
    </row>
    <row r="6" spans="4:6" x14ac:dyDescent="0.3">
      <c r="D6">
        <v>2</v>
      </c>
      <c r="E6" t="s">
        <v>189</v>
      </c>
      <c r="F6" t="s">
        <v>196</v>
      </c>
    </row>
    <row r="7" spans="4:6" x14ac:dyDescent="0.3">
      <c r="D7">
        <v>3</v>
      </c>
      <c r="E7" t="s">
        <v>190</v>
      </c>
      <c r="F7" t="s">
        <v>197</v>
      </c>
    </row>
    <row r="8" spans="4:6" x14ac:dyDescent="0.3">
      <c r="D8">
        <v>4</v>
      </c>
      <c r="E8" t="s">
        <v>191</v>
      </c>
      <c r="F8" t="s">
        <v>198</v>
      </c>
    </row>
    <row r="9" spans="4:6" ht="14.4" customHeight="1" x14ac:dyDescent="0.3">
      <c r="D9">
        <v>5</v>
      </c>
      <c r="E9" t="s">
        <v>192</v>
      </c>
      <c r="F9" t="s">
        <v>199</v>
      </c>
    </row>
    <row r="10" spans="4:6" x14ac:dyDescent="0.3">
      <c r="D10">
        <v>6</v>
      </c>
      <c r="E10" t="s">
        <v>193</v>
      </c>
      <c r="F10" t="s">
        <v>200</v>
      </c>
    </row>
    <row r="11" spans="4:6" x14ac:dyDescent="0.3">
      <c r="D11">
        <v>7</v>
      </c>
      <c r="E11" t="s">
        <v>194</v>
      </c>
      <c r="F11" t="s">
        <v>201</v>
      </c>
    </row>
    <row r="12" spans="4:6" x14ac:dyDescent="0.3">
      <c r="D12">
        <v>8</v>
      </c>
      <c r="E12" t="s">
        <v>202</v>
      </c>
      <c r="F12" t="s">
        <v>203</v>
      </c>
    </row>
    <row r="13" spans="4:6" x14ac:dyDescent="0.3">
      <c r="D13">
        <v>9</v>
      </c>
      <c r="E13" t="s">
        <v>204</v>
      </c>
      <c r="F13" t="s">
        <v>205</v>
      </c>
    </row>
    <row r="14" spans="4:6" x14ac:dyDescent="0.3">
      <c r="D14">
        <v>10</v>
      </c>
      <c r="E14" t="s">
        <v>206</v>
      </c>
      <c r="F14" t="s">
        <v>207</v>
      </c>
    </row>
    <row r="15" spans="4:6" x14ac:dyDescent="0.3">
      <c r="D15">
        <v>11</v>
      </c>
      <c r="E15" t="s">
        <v>208</v>
      </c>
      <c r="F15" t="s">
        <v>209</v>
      </c>
    </row>
    <row r="16" spans="4:6" ht="14.4" customHeight="1" x14ac:dyDescent="0.3">
      <c r="D16">
        <v>12</v>
      </c>
      <c r="E16" t="s">
        <v>210</v>
      </c>
      <c r="F16" t="s">
        <v>211</v>
      </c>
    </row>
    <row r="17" spans="4:6" x14ac:dyDescent="0.3">
      <c r="D17">
        <v>13</v>
      </c>
      <c r="E17" t="s">
        <v>212</v>
      </c>
      <c r="F17" t="s">
        <v>213</v>
      </c>
    </row>
    <row r="18" spans="4:6" x14ac:dyDescent="0.3">
      <c r="D18">
        <v>14</v>
      </c>
      <c r="E18" t="s">
        <v>291</v>
      </c>
      <c r="F18" t="s">
        <v>215</v>
      </c>
    </row>
    <row r="19" spans="4:6" x14ac:dyDescent="0.3">
      <c r="D19">
        <v>15</v>
      </c>
      <c r="E19" t="s">
        <v>216</v>
      </c>
      <c r="F19" t="s">
        <v>217</v>
      </c>
    </row>
    <row r="20" spans="4:6" x14ac:dyDescent="0.3">
      <c r="D20">
        <v>16</v>
      </c>
      <c r="E20" t="s">
        <v>218</v>
      </c>
      <c r="F20" t="s">
        <v>219</v>
      </c>
    </row>
    <row r="21" spans="4:6" x14ac:dyDescent="0.3">
      <c r="D21">
        <v>17</v>
      </c>
      <c r="E21" t="s">
        <v>220</v>
      </c>
      <c r="F21" t="s">
        <v>221</v>
      </c>
    </row>
    <row r="22" spans="4:6" x14ac:dyDescent="0.3">
      <c r="D22">
        <v>18</v>
      </c>
      <c r="E22" t="s">
        <v>222</v>
      </c>
      <c r="F22" t="s">
        <v>223</v>
      </c>
    </row>
    <row r="23" spans="4:6" x14ac:dyDescent="0.3">
      <c r="D23">
        <v>19</v>
      </c>
      <c r="E23" t="s">
        <v>224</v>
      </c>
      <c r="F23" t="s">
        <v>225</v>
      </c>
    </row>
    <row r="24" spans="4:6" x14ac:dyDescent="0.3">
      <c r="D24">
        <v>20</v>
      </c>
      <c r="E24" t="s">
        <v>226</v>
      </c>
      <c r="F24" t="s">
        <v>227</v>
      </c>
    </row>
    <row r="25" spans="4:6" x14ac:dyDescent="0.3">
      <c r="D25">
        <v>21</v>
      </c>
      <c r="E25" t="s">
        <v>228</v>
      </c>
      <c r="F25" t="s">
        <v>229</v>
      </c>
    </row>
    <row r="26" spans="4:6" x14ac:dyDescent="0.3">
      <c r="D26">
        <v>22</v>
      </c>
      <c r="E26" t="s">
        <v>230</v>
      </c>
      <c r="F26" t="s">
        <v>231</v>
      </c>
    </row>
    <row r="27" spans="4:6" x14ac:dyDescent="0.3">
      <c r="D27">
        <v>23</v>
      </c>
      <c r="E27" t="s">
        <v>232</v>
      </c>
      <c r="F27" t="s">
        <v>233</v>
      </c>
    </row>
    <row r="28" spans="4:6" x14ac:dyDescent="0.3">
      <c r="D28">
        <v>24</v>
      </c>
      <c r="E28" t="s">
        <v>234</v>
      </c>
      <c r="F28" t="s">
        <v>289</v>
      </c>
    </row>
    <row r="29" spans="4:6" x14ac:dyDescent="0.3">
      <c r="D29">
        <v>25</v>
      </c>
      <c r="E29" t="s">
        <v>236</v>
      </c>
      <c r="F29" t="s">
        <v>237</v>
      </c>
    </row>
    <row r="30" spans="4:6" x14ac:dyDescent="0.3">
      <c r="D30">
        <v>26</v>
      </c>
      <c r="E30" t="s">
        <v>238</v>
      </c>
      <c r="F30" t="s">
        <v>239</v>
      </c>
    </row>
    <row r="31" spans="4:6" x14ac:dyDescent="0.3">
      <c r="D31">
        <v>27</v>
      </c>
      <c r="E31" t="s">
        <v>240</v>
      </c>
      <c r="F31" t="s">
        <v>241</v>
      </c>
    </row>
    <row r="32" spans="4:6" x14ac:dyDescent="0.3">
      <c r="D32">
        <v>28</v>
      </c>
      <c r="E32" t="s">
        <v>242</v>
      </c>
      <c r="F32" t="s">
        <v>243</v>
      </c>
    </row>
    <row r="33" spans="4:6" x14ac:dyDescent="0.3">
      <c r="D33">
        <v>29</v>
      </c>
      <c r="E33" t="s">
        <v>242</v>
      </c>
      <c r="F33" t="s">
        <v>244</v>
      </c>
    </row>
    <row r="34" spans="4:6" x14ac:dyDescent="0.3">
      <c r="D34">
        <v>30</v>
      </c>
      <c r="E34" t="s">
        <v>245</v>
      </c>
      <c r="F34" t="s">
        <v>246</v>
      </c>
    </row>
    <row r="35" spans="4:6" x14ac:dyDescent="0.3">
      <c r="D35">
        <v>31</v>
      </c>
      <c r="E35" t="s">
        <v>247</v>
      </c>
      <c r="F35" t="s">
        <v>248</v>
      </c>
    </row>
    <row r="36" spans="4:6" x14ac:dyDescent="0.3">
      <c r="D36">
        <v>32</v>
      </c>
      <c r="E36" t="s">
        <v>249</v>
      </c>
      <c r="F36" t="s">
        <v>250</v>
      </c>
    </row>
    <row r="37" spans="4:6" x14ac:dyDescent="0.3">
      <c r="D37">
        <v>33</v>
      </c>
      <c r="E37" t="s">
        <v>251</v>
      </c>
      <c r="F37" t="s">
        <v>252</v>
      </c>
    </row>
    <row r="38" spans="4:6" x14ac:dyDescent="0.3">
      <c r="D38">
        <v>34</v>
      </c>
      <c r="E38" t="s">
        <v>253</v>
      </c>
      <c r="F38" t="s">
        <v>254</v>
      </c>
    </row>
    <row r="39" spans="4:6" x14ac:dyDescent="0.3">
      <c r="D39">
        <v>35</v>
      </c>
      <c r="E39" t="s">
        <v>255</v>
      </c>
      <c r="F39" t="s">
        <v>256</v>
      </c>
    </row>
    <row r="40" spans="4:6" x14ac:dyDescent="0.3">
      <c r="D40">
        <v>36</v>
      </c>
      <c r="E40" t="s">
        <v>257</v>
      </c>
      <c r="F40" t="s">
        <v>258</v>
      </c>
    </row>
    <row r="41" spans="4:6" x14ac:dyDescent="0.3">
      <c r="D41">
        <v>37</v>
      </c>
      <c r="E41" t="s">
        <v>259</v>
      </c>
      <c r="F41" t="s">
        <v>260</v>
      </c>
    </row>
    <row r="42" spans="4:6" x14ac:dyDescent="0.3">
      <c r="D42">
        <v>38</v>
      </c>
      <c r="E42" t="s">
        <v>261</v>
      </c>
      <c r="F42" t="s">
        <v>262</v>
      </c>
    </row>
    <row r="43" spans="4:6" x14ac:dyDescent="0.3">
      <c r="D43">
        <v>39</v>
      </c>
      <c r="E43" t="s">
        <v>263</v>
      </c>
      <c r="F43" t="s">
        <v>264</v>
      </c>
    </row>
    <row r="44" spans="4:6" x14ac:dyDescent="0.3">
      <c r="D44">
        <v>40</v>
      </c>
      <c r="E44" t="s">
        <v>265</v>
      </c>
      <c r="F44" t="s">
        <v>266</v>
      </c>
    </row>
    <row r="45" spans="4:6" x14ac:dyDescent="0.3">
      <c r="D45">
        <v>41</v>
      </c>
      <c r="E45" t="s">
        <v>267</v>
      </c>
      <c r="F45" t="s">
        <v>268</v>
      </c>
    </row>
    <row r="46" spans="4:6" x14ac:dyDescent="0.3">
      <c r="D46">
        <v>42</v>
      </c>
      <c r="E46" t="s">
        <v>267</v>
      </c>
      <c r="F46" t="s">
        <v>269</v>
      </c>
    </row>
    <row r="47" spans="4:6" x14ac:dyDescent="0.3">
      <c r="D47">
        <v>43</v>
      </c>
      <c r="E47" t="s">
        <v>270</v>
      </c>
      <c r="F47" t="s">
        <v>271</v>
      </c>
    </row>
    <row r="48" spans="4:6" x14ac:dyDescent="0.3">
      <c r="D48">
        <v>44</v>
      </c>
      <c r="E48" t="s">
        <v>272</v>
      </c>
      <c r="F48" t="s">
        <v>273</v>
      </c>
    </row>
    <row r="49" spans="4:6" x14ac:dyDescent="0.3">
      <c r="D49">
        <v>45</v>
      </c>
      <c r="E49" t="s">
        <v>274</v>
      </c>
      <c r="F49" t="s">
        <v>275</v>
      </c>
    </row>
    <row r="50" spans="4:6" x14ac:dyDescent="0.3">
      <c r="D50">
        <v>46</v>
      </c>
      <c r="E50" t="s">
        <v>276</v>
      </c>
      <c r="F50" t="s">
        <v>277</v>
      </c>
    </row>
    <row r="51" spans="4:6" x14ac:dyDescent="0.3">
      <c r="D51">
        <v>47</v>
      </c>
      <c r="E51" t="s">
        <v>290</v>
      </c>
      <c r="F51" t="s">
        <v>279</v>
      </c>
    </row>
    <row r="52" spans="4:6" x14ac:dyDescent="0.3">
      <c r="D52">
        <v>48</v>
      </c>
      <c r="E52" t="s">
        <v>280</v>
      </c>
      <c r="F52" t="s">
        <v>281</v>
      </c>
    </row>
    <row r="53" spans="4:6" x14ac:dyDescent="0.3">
      <c r="D53">
        <v>49</v>
      </c>
      <c r="E53" t="s">
        <v>282</v>
      </c>
      <c r="F53" t="s">
        <v>283</v>
      </c>
    </row>
    <row r="54" spans="4:6" x14ac:dyDescent="0.3">
      <c r="D54">
        <v>50</v>
      </c>
      <c r="E54" t="s">
        <v>284</v>
      </c>
      <c r="F54" t="s">
        <v>285</v>
      </c>
    </row>
    <row r="55" spans="4:6" x14ac:dyDescent="0.3">
      <c r="D55">
        <v>51</v>
      </c>
      <c r="E55" t="s">
        <v>286</v>
      </c>
      <c r="F55" t="s">
        <v>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4508-A0AB-4ED1-A703-4BE70413FA3E}">
  <sheetPr codeName="Sheet6"/>
  <dimension ref="C2:H78"/>
  <sheetViews>
    <sheetView tabSelected="1" topLeftCell="A54" zoomScaleNormal="100" workbookViewId="0">
      <selection activeCell="E9" sqref="E9"/>
    </sheetView>
  </sheetViews>
  <sheetFormatPr defaultRowHeight="14.4" x14ac:dyDescent="0.3"/>
  <cols>
    <col min="4" max="4" width="7.77734375" customWidth="1"/>
    <col min="5" max="5" width="51.88671875" customWidth="1"/>
    <col min="6" max="6" width="53.109375" customWidth="1"/>
    <col min="7" max="7" width="19.88671875" customWidth="1"/>
    <col min="8" max="8" width="20" customWidth="1"/>
  </cols>
  <sheetData>
    <row r="2" spans="3:8" x14ac:dyDescent="0.3">
      <c r="D2" s="134" t="s">
        <v>323</v>
      </c>
      <c r="E2" s="134"/>
      <c r="F2" s="134"/>
      <c r="G2" s="134"/>
      <c r="H2" s="134"/>
    </row>
    <row r="3" spans="3:8" x14ac:dyDescent="0.3">
      <c r="D3" s="135"/>
      <c r="E3" s="135"/>
      <c r="F3" s="135"/>
      <c r="G3" s="135"/>
      <c r="H3" s="135"/>
    </row>
    <row r="4" spans="3:8" ht="20.399999999999999" customHeight="1" x14ac:dyDescent="0.3">
      <c r="C4" s="43" t="s">
        <v>481</v>
      </c>
      <c r="D4" s="43" t="s">
        <v>292</v>
      </c>
      <c r="E4" s="43" t="s">
        <v>293</v>
      </c>
      <c r="F4" s="43" t="s">
        <v>294</v>
      </c>
      <c r="G4" s="43" t="s">
        <v>295</v>
      </c>
      <c r="H4" s="43" t="s">
        <v>296</v>
      </c>
    </row>
    <row r="5" spans="3:8" ht="18" x14ac:dyDescent="0.3">
      <c r="C5" s="43">
        <v>1</v>
      </c>
      <c r="D5" s="41"/>
      <c r="E5" s="42" t="s">
        <v>297</v>
      </c>
      <c r="F5" s="42" t="s">
        <v>298</v>
      </c>
      <c r="G5" s="42" t="s">
        <v>319</v>
      </c>
      <c r="H5" s="41"/>
    </row>
    <row r="6" spans="3:8" ht="18" x14ac:dyDescent="0.3">
      <c r="C6" s="43">
        <v>2</v>
      </c>
      <c r="D6" s="41"/>
      <c r="E6" s="42" t="s">
        <v>189</v>
      </c>
      <c r="F6" s="42" t="s">
        <v>299</v>
      </c>
      <c r="G6" s="42" t="s">
        <v>320</v>
      </c>
      <c r="H6" s="41" t="str">
        <f>IF($J6=TRUE,COUNTIF($J$4:$J6,TRUE),"")</f>
        <v/>
      </c>
    </row>
    <row r="7" spans="3:8" ht="18" x14ac:dyDescent="0.3">
      <c r="C7" s="43">
        <v>3</v>
      </c>
      <c r="D7" s="41"/>
      <c r="E7" s="42" t="s">
        <v>300</v>
      </c>
      <c r="F7" s="42" t="s">
        <v>301</v>
      </c>
      <c r="G7" s="42" t="s">
        <v>321</v>
      </c>
      <c r="H7" s="41" t="str">
        <f>IF($J7=TRUE,COUNTIF($J$4:$J7,TRUE),"")</f>
        <v/>
      </c>
    </row>
    <row r="8" spans="3:8" ht="18" x14ac:dyDescent="0.3">
      <c r="C8" s="43">
        <v>4</v>
      </c>
      <c r="D8" s="41"/>
      <c r="E8" s="42" t="s">
        <v>318</v>
      </c>
      <c r="F8" s="42" t="s">
        <v>302</v>
      </c>
      <c r="G8" s="42" t="s">
        <v>322</v>
      </c>
      <c r="H8" s="41" t="str">
        <f>IF($J8=TRUE,COUNTIF($J$4:$J8,TRUE),"")</f>
        <v/>
      </c>
    </row>
    <row r="9" spans="3:8" ht="18" x14ac:dyDescent="0.3">
      <c r="C9" s="43">
        <v>5</v>
      </c>
      <c r="D9" s="41"/>
      <c r="E9" s="42" t="s">
        <v>303</v>
      </c>
      <c r="F9" s="42" t="s">
        <v>304</v>
      </c>
      <c r="G9" s="42" t="s">
        <v>305</v>
      </c>
      <c r="H9" s="41" t="str">
        <f>IF($J9=TRUE,COUNTIF($J$4:$J9,TRUE),"")</f>
        <v/>
      </c>
    </row>
    <row r="10" spans="3:8" ht="18" x14ac:dyDescent="0.3">
      <c r="C10" s="43">
        <v>6</v>
      </c>
      <c r="D10" s="41"/>
      <c r="E10" s="42" t="s">
        <v>306</v>
      </c>
      <c r="F10" s="42" t="s">
        <v>307</v>
      </c>
      <c r="G10" s="42" t="s">
        <v>308</v>
      </c>
      <c r="H10" s="41" t="str">
        <f>IF($J10=TRUE,COUNTIF($J$4:$J10,TRUE),"")</f>
        <v/>
      </c>
    </row>
    <row r="11" spans="3:8" ht="14.4" customHeight="1" x14ac:dyDescent="0.3">
      <c r="C11" s="43">
        <v>7</v>
      </c>
      <c r="D11" s="41"/>
      <c r="E11" s="42" t="s">
        <v>309</v>
      </c>
      <c r="F11" s="42" t="s">
        <v>310</v>
      </c>
      <c r="G11" s="42" t="s">
        <v>311</v>
      </c>
      <c r="H11" s="41" t="str">
        <f>IF($J11=TRUE,COUNTIF($J$4:$J11,TRUE),"")</f>
        <v/>
      </c>
    </row>
    <row r="12" spans="3:8" ht="18" x14ac:dyDescent="0.3">
      <c r="C12" s="43">
        <v>8</v>
      </c>
      <c r="D12" s="41"/>
      <c r="E12" s="42" t="s">
        <v>312</v>
      </c>
      <c r="F12" s="42" t="s">
        <v>313</v>
      </c>
      <c r="G12" s="42" t="s">
        <v>314</v>
      </c>
      <c r="H12" s="41" t="str">
        <f>IF($J12=TRUE,COUNTIF($J$4:$J12,TRUE),"")</f>
        <v/>
      </c>
    </row>
    <row r="13" spans="3:8" ht="18" x14ac:dyDescent="0.3">
      <c r="C13" s="43">
        <v>9</v>
      </c>
      <c r="D13" s="41"/>
      <c r="E13" s="42" t="s">
        <v>317</v>
      </c>
      <c r="F13" s="42" t="s">
        <v>315</v>
      </c>
      <c r="G13" s="42" t="s">
        <v>316</v>
      </c>
      <c r="H13" s="41" t="str">
        <f>IF($J13=TRUE,COUNTIF($J$4:$J13,TRUE),"")</f>
        <v/>
      </c>
    </row>
    <row r="14" spans="3:8" ht="18" x14ac:dyDescent="0.3">
      <c r="C14" s="43">
        <v>10</v>
      </c>
      <c r="D14" s="41"/>
      <c r="E14" s="42" t="s">
        <v>208</v>
      </c>
      <c r="F14" s="42" t="s">
        <v>324</v>
      </c>
      <c r="G14" s="42" t="s">
        <v>325</v>
      </c>
      <c r="H14" s="41" t="str">
        <f>IF($J14=TRUE,COUNTIF($J$4:$J14,TRUE),"")</f>
        <v/>
      </c>
    </row>
    <row r="15" spans="3:8" ht="18" x14ac:dyDescent="0.3">
      <c r="C15" s="43">
        <v>11</v>
      </c>
      <c r="D15" s="41"/>
      <c r="E15" s="42" t="s">
        <v>326</v>
      </c>
      <c r="F15" s="42" t="s">
        <v>327</v>
      </c>
      <c r="G15" s="42" t="s">
        <v>328</v>
      </c>
      <c r="H15" s="41" t="str">
        <f>IF($J15=TRUE,COUNTIF($J$4:$J15,TRUE),"")</f>
        <v/>
      </c>
    </row>
    <row r="16" spans="3:8" ht="18" x14ac:dyDescent="0.3">
      <c r="C16" s="43">
        <v>12</v>
      </c>
      <c r="D16" s="41"/>
      <c r="E16" s="42" t="s">
        <v>329</v>
      </c>
      <c r="F16" s="42" t="s">
        <v>215</v>
      </c>
      <c r="G16" s="42" t="s">
        <v>330</v>
      </c>
      <c r="H16" s="41" t="str">
        <f>IF($J16=TRUE,COUNTIF($J$4:$J16,TRUE),"")</f>
        <v/>
      </c>
    </row>
    <row r="17" spans="3:8" ht="18" x14ac:dyDescent="0.3">
      <c r="C17" s="43">
        <v>13</v>
      </c>
      <c r="D17" s="41"/>
      <c r="E17" s="42" t="s">
        <v>331</v>
      </c>
      <c r="F17" s="42" t="s">
        <v>332</v>
      </c>
      <c r="G17" s="42" t="s">
        <v>333</v>
      </c>
      <c r="H17" s="41" t="str">
        <f>IF($J17=TRUE,COUNTIF($J$4:$J17,TRUE),"")</f>
        <v/>
      </c>
    </row>
    <row r="18" spans="3:8" ht="18" x14ac:dyDescent="0.3">
      <c r="C18" s="43">
        <v>14</v>
      </c>
      <c r="D18" s="41"/>
      <c r="E18" s="42" t="s">
        <v>479</v>
      </c>
      <c r="F18" s="42" t="s">
        <v>213</v>
      </c>
      <c r="G18" s="42" t="s">
        <v>334</v>
      </c>
      <c r="H18" s="41" t="str">
        <f>IF($J18=TRUE,COUNTIF($J$4:$J18,TRUE),"")</f>
        <v/>
      </c>
    </row>
    <row r="19" spans="3:8" ht="18" x14ac:dyDescent="0.3">
      <c r="C19" s="43">
        <v>15</v>
      </c>
      <c r="D19" s="41"/>
      <c r="E19" s="42" t="s">
        <v>478</v>
      </c>
      <c r="F19" s="42" t="s">
        <v>271</v>
      </c>
      <c r="G19" s="42" t="s">
        <v>335</v>
      </c>
      <c r="H19" s="41" t="str">
        <f>IF($J19=TRUE,COUNTIF($J$4:$J19,TRUE),"")</f>
        <v/>
      </c>
    </row>
    <row r="20" spans="3:8" ht="18" x14ac:dyDescent="0.3">
      <c r="C20" s="43">
        <v>16</v>
      </c>
      <c r="D20" s="41"/>
      <c r="E20" s="42" t="s">
        <v>204</v>
      </c>
      <c r="F20" s="42" t="s">
        <v>336</v>
      </c>
      <c r="G20" s="42" t="s">
        <v>337</v>
      </c>
      <c r="H20" s="41" t="str">
        <f>IF($J20=TRUE,COUNTIF($J$4:$J20,TRUE),"")</f>
        <v/>
      </c>
    </row>
    <row r="21" spans="3:8" ht="18" x14ac:dyDescent="0.3">
      <c r="C21" s="43">
        <v>17</v>
      </c>
      <c r="D21" s="41"/>
      <c r="E21" s="42" t="s">
        <v>202</v>
      </c>
      <c r="F21" s="42" t="s">
        <v>203</v>
      </c>
      <c r="G21" s="42" t="s">
        <v>338</v>
      </c>
      <c r="H21" s="41" t="str">
        <f>IF($J21=TRUE,COUNTIF($J$4:$J21,TRUE),"")</f>
        <v/>
      </c>
    </row>
    <row r="22" spans="3:8" ht="18" x14ac:dyDescent="0.3">
      <c r="C22" s="43">
        <v>18</v>
      </c>
      <c r="D22" s="41"/>
      <c r="E22" s="42" t="s">
        <v>206</v>
      </c>
      <c r="F22" s="42" t="s">
        <v>339</v>
      </c>
      <c r="G22" s="42" t="s">
        <v>340</v>
      </c>
      <c r="H22" s="41" t="str">
        <f>IF($J22=TRUE,COUNTIF($J$4:$J22,TRUE),"")</f>
        <v/>
      </c>
    </row>
    <row r="23" spans="3:8" ht="18" x14ac:dyDescent="0.3">
      <c r="C23" s="43">
        <v>19</v>
      </c>
      <c r="D23" s="41"/>
      <c r="E23" s="42" t="s">
        <v>220</v>
      </c>
      <c r="F23" s="42" t="s">
        <v>341</v>
      </c>
      <c r="G23" s="42" t="s">
        <v>342</v>
      </c>
      <c r="H23" s="41" t="str">
        <f>IF($J23=TRUE,COUNTIF($J$4:$J23,TRUE),"")</f>
        <v/>
      </c>
    </row>
    <row r="24" spans="3:8" ht="18" x14ac:dyDescent="0.3">
      <c r="C24" s="43">
        <v>20</v>
      </c>
      <c r="D24" s="41"/>
      <c r="E24" s="42" t="s">
        <v>343</v>
      </c>
      <c r="F24" s="42" t="s">
        <v>344</v>
      </c>
      <c r="G24" s="42" t="s">
        <v>345</v>
      </c>
      <c r="H24" s="41" t="str">
        <f>IF($J24=TRUE,COUNTIF($J$4:$J24,TRUE),"")</f>
        <v/>
      </c>
    </row>
    <row r="25" spans="3:8" ht="18" x14ac:dyDescent="0.3">
      <c r="C25" s="43">
        <v>21</v>
      </c>
      <c r="D25" s="41"/>
      <c r="E25" s="42" t="s">
        <v>346</v>
      </c>
      <c r="F25" s="42" t="s">
        <v>347</v>
      </c>
      <c r="G25" s="42" t="s">
        <v>348</v>
      </c>
      <c r="H25" s="41" t="str">
        <f>IF($J25=TRUE,COUNTIF($J$4:$J25,TRUE),"")</f>
        <v/>
      </c>
    </row>
    <row r="26" spans="3:8" ht="18" x14ac:dyDescent="0.3">
      <c r="C26" s="43">
        <v>22</v>
      </c>
      <c r="D26" s="41"/>
      <c r="E26" s="42" t="s">
        <v>226</v>
      </c>
      <c r="F26" s="42" t="s">
        <v>349</v>
      </c>
      <c r="G26" s="42" t="s">
        <v>350</v>
      </c>
      <c r="H26" s="41" t="str">
        <f>IF($J26=TRUE,COUNTIF($J$4:$J26,TRUE),"")</f>
        <v/>
      </c>
    </row>
    <row r="27" spans="3:8" ht="18" x14ac:dyDescent="0.3">
      <c r="C27" s="43">
        <v>23</v>
      </c>
      <c r="D27" s="41"/>
      <c r="E27" s="42" t="s">
        <v>351</v>
      </c>
      <c r="F27" s="42" t="s">
        <v>352</v>
      </c>
      <c r="G27" s="42" t="s">
        <v>353</v>
      </c>
      <c r="H27" s="41" t="str">
        <f>IF($J27=TRUE,COUNTIF($J$4:$J27,TRUE),"")</f>
        <v/>
      </c>
    </row>
    <row r="28" spans="3:8" ht="18" x14ac:dyDescent="0.3">
      <c r="C28" s="43">
        <v>24</v>
      </c>
      <c r="D28" s="41"/>
      <c r="E28" s="42" t="s">
        <v>354</v>
      </c>
      <c r="F28" s="42" t="s">
        <v>355</v>
      </c>
      <c r="G28" s="42" t="s">
        <v>356</v>
      </c>
      <c r="H28" s="41" t="str">
        <f>IF($J28=TRUE,COUNTIF($J$4:$J28,TRUE),"")</f>
        <v/>
      </c>
    </row>
    <row r="29" spans="3:8" ht="18" x14ac:dyDescent="0.3">
      <c r="C29" s="43">
        <v>25</v>
      </c>
      <c r="D29" s="41"/>
      <c r="E29" s="42" t="s">
        <v>357</v>
      </c>
      <c r="F29" s="42" t="s">
        <v>358</v>
      </c>
      <c r="G29" s="42" t="s">
        <v>359</v>
      </c>
      <c r="H29" s="41" t="str">
        <f>IF($J29=TRUE,COUNTIF($J$4:$J29,TRUE),"")</f>
        <v/>
      </c>
    </row>
    <row r="30" spans="3:8" ht="18" x14ac:dyDescent="0.3">
      <c r="C30" s="43">
        <v>26</v>
      </c>
      <c r="D30" s="41"/>
      <c r="E30" s="42" t="s">
        <v>238</v>
      </c>
      <c r="F30" s="42" t="s">
        <v>360</v>
      </c>
      <c r="G30" s="42" t="s">
        <v>361</v>
      </c>
      <c r="H30" s="41" t="str">
        <f>IF($J30=TRUE,COUNTIF($J$4:$J30,TRUE),"")</f>
        <v/>
      </c>
    </row>
    <row r="31" spans="3:8" ht="18" x14ac:dyDescent="0.3">
      <c r="C31" s="43">
        <v>27</v>
      </c>
      <c r="D31" s="41"/>
      <c r="E31" s="42" t="s">
        <v>270</v>
      </c>
      <c r="F31" s="42" t="s">
        <v>271</v>
      </c>
      <c r="G31" s="42" t="s">
        <v>362</v>
      </c>
      <c r="H31" s="41" t="str">
        <f>IF($J31=TRUE,COUNTIF($J$4:$J31,TRUE),"")</f>
        <v/>
      </c>
    </row>
    <row r="32" spans="3:8" ht="18" x14ac:dyDescent="0.3">
      <c r="C32" s="43">
        <v>28</v>
      </c>
      <c r="D32" s="41"/>
      <c r="E32" s="42" t="s">
        <v>278</v>
      </c>
      <c r="F32" s="42" t="s">
        <v>363</v>
      </c>
      <c r="G32" s="42" t="s">
        <v>364</v>
      </c>
      <c r="H32" s="41" t="str">
        <f>IF($J32=TRUE,COUNTIF($J$4:$J32,TRUE),"")</f>
        <v/>
      </c>
    </row>
    <row r="33" spans="3:8" ht="18" x14ac:dyDescent="0.3">
      <c r="C33" s="43">
        <v>29</v>
      </c>
      <c r="D33" s="41"/>
      <c r="E33" s="42" t="s">
        <v>280</v>
      </c>
      <c r="F33" s="42" t="s">
        <v>365</v>
      </c>
      <c r="G33" s="42" t="s">
        <v>366</v>
      </c>
      <c r="H33" s="41" t="str">
        <f>IF($J33=TRUE,COUNTIF($J$4:$J33,TRUE),"")</f>
        <v/>
      </c>
    </row>
    <row r="34" spans="3:8" ht="18" x14ac:dyDescent="0.3">
      <c r="C34" s="43">
        <v>30</v>
      </c>
      <c r="D34" s="41"/>
      <c r="E34" s="42" t="s">
        <v>367</v>
      </c>
      <c r="F34" s="42" t="s">
        <v>368</v>
      </c>
      <c r="G34" s="42" t="s">
        <v>369</v>
      </c>
      <c r="H34" s="41" t="str">
        <f>IF($J34=TRUE,COUNTIF($J$4:$J34,TRUE),"")</f>
        <v/>
      </c>
    </row>
    <row r="35" spans="3:8" ht="18" x14ac:dyDescent="0.3">
      <c r="C35" s="43">
        <v>31</v>
      </c>
      <c r="D35" s="41"/>
      <c r="E35" s="42" t="s">
        <v>284</v>
      </c>
      <c r="F35" s="42" t="s">
        <v>370</v>
      </c>
      <c r="G35" s="42" t="s">
        <v>369</v>
      </c>
      <c r="H35" s="41" t="str">
        <f>IF($J35=TRUE,COUNTIF($J$4:$J35,TRUE),"")</f>
        <v/>
      </c>
    </row>
    <row r="36" spans="3:8" ht="18" x14ac:dyDescent="0.3">
      <c r="C36" s="43">
        <v>32</v>
      </c>
      <c r="D36" s="41"/>
      <c r="E36" s="42" t="s">
        <v>286</v>
      </c>
      <c r="F36" s="42" t="s">
        <v>371</v>
      </c>
      <c r="G36" s="42" t="s">
        <v>372</v>
      </c>
      <c r="H36" s="41" t="str">
        <f>IF($J36=TRUE,COUNTIF($J$4:$J36,TRUE),"")</f>
        <v/>
      </c>
    </row>
    <row r="37" spans="3:8" ht="18" x14ac:dyDescent="0.3">
      <c r="C37" s="43">
        <v>33</v>
      </c>
      <c r="D37" s="41"/>
      <c r="E37" s="42" t="s">
        <v>373</v>
      </c>
      <c r="F37" s="42" t="s">
        <v>374</v>
      </c>
      <c r="G37" s="42" t="s">
        <v>375</v>
      </c>
      <c r="H37" s="41" t="str">
        <f>IF($J37=TRUE,COUNTIF($J$4:$J37,TRUE),"")</f>
        <v/>
      </c>
    </row>
    <row r="38" spans="3:8" ht="18" x14ac:dyDescent="0.3">
      <c r="C38" s="43">
        <v>34</v>
      </c>
      <c r="D38" s="41"/>
      <c r="E38" s="42" t="s">
        <v>376</v>
      </c>
      <c r="F38" s="42" t="s">
        <v>377</v>
      </c>
      <c r="G38" s="42" t="s">
        <v>378</v>
      </c>
      <c r="H38" s="41" t="str">
        <f>IF($J38=TRUE,COUNTIF($J$4:$J38,TRUE),"")</f>
        <v/>
      </c>
    </row>
    <row r="39" spans="3:8" ht="18" x14ac:dyDescent="0.3">
      <c r="C39" s="43">
        <v>35</v>
      </c>
      <c r="D39" s="41"/>
      <c r="E39" s="42" t="s">
        <v>379</v>
      </c>
      <c r="F39" s="42" t="s">
        <v>380</v>
      </c>
      <c r="G39" s="42" t="s">
        <v>381</v>
      </c>
      <c r="H39" s="41" t="str">
        <f>IF($J39=TRUE,COUNTIF($J$4:$J39,TRUE),"")</f>
        <v/>
      </c>
    </row>
    <row r="40" spans="3:8" ht="18" x14ac:dyDescent="0.3">
      <c r="C40" s="43">
        <v>36</v>
      </c>
      <c r="D40" s="41"/>
      <c r="E40" s="42" t="s">
        <v>382</v>
      </c>
      <c r="F40" s="42" t="s">
        <v>383</v>
      </c>
      <c r="G40" s="42" t="s">
        <v>384</v>
      </c>
      <c r="H40" s="41" t="str">
        <f>IF($J40=TRUE,COUNTIF($J$4:$J40,TRUE),"")</f>
        <v/>
      </c>
    </row>
    <row r="41" spans="3:8" ht="18" x14ac:dyDescent="0.3">
      <c r="C41" s="43">
        <v>37</v>
      </c>
      <c r="D41" s="41"/>
      <c r="E41" s="42" t="s">
        <v>385</v>
      </c>
      <c r="F41" s="42" t="s">
        <v>386</v>
      </c>
      <c r="G41" s="42" t="s">
        <v>366</v>
      </c>
      <c r="H41" s="41" t="str">
        <f>IF($J41=TRUE,COUNTIF($J$4:$J41,TRUE),"")</f>
        <v/>
      </c>
    </row>
    <row r="42" spans="3:8" ht="18" x14ac:dyDescent="0.3">
      <c r="C42" s="43">
        <v>38</v>
      </c>
      <c r="D42" s="41"/>
      <c r="E42" s="42" t="s">
        <v>387</v>
      </c>
      <c r="F42" s="42" t="s">
        <v>388</v>
      </c>
      <c r="G42" s="42" t="s">
        <v>389</v>
      </c>
      <c r="H42" s="41" t="str">
        <f>IF($J42=TRUE,COUNTIF($J$4:$J42,TRUE),"")</f>
        <v/>
      </c>
    </row>
    <row r="43" spans="3:8" ht="18" x14ac:dyDescent="0.3">
      <c r="C43" s="43">
        <v>39</v>
      </c>
      <c r="D43" s="41"/>
      <c r="E43" s="42" t="s">
        <v>390</v>
      </c>
      <c r="F43" s="42" t="s">
        <v>304</v>
      </c>
      <c r="G43" s="42" t="s">
        <v>391</v>
      </c>
      <c r="H43" s="41" t="str">
        <f>IF($J43=TRUE,COUNTIF($J$4:$J43,TRUE),"")</f>
        <v/>
      </c>
    </row>
    <row r="44" spans="3:8" ht="18" x14ac:dyDescent="0.3">
      <c r="C44" s="43">
        <v>40</v>
      </c>
      <c r="D44" s="41"/>
      <c r="E44" s="42" t="s">
        <v>392</v>
      </c>
      <c r="F44" s="42" t="s">
        <v>393</v>
      </c>
      <c r="G44" s="42" t="s">
        <v>394</v>
      </c>
      <c r="H44" s="41" t="str">
        <f>IF($J44=TRUE,COUNTIF($J$4:$J44,TRUE),"")</f>
        <v/>
      </c>
    </row>
    <row r="45" spans="3:8" ht="18" x14ac:dyDescent="0.3">
      <c r="C45" s="43">
        <v>41</v>
      </c>
      <c r="D45" s="41"/>
      <c r="E45" s="42" t="s">
        <v>395</v>
      </c>
      <c r="F45" s="42" t="s">
        <v>341</v>
      </c>
      <c r="G45" s="42" t="s">
        <v>396</v>
      </c>
      <c r="H45" s="41" t="str">
        <f>IF($J45=TRUE,COUNTIF($J$4:$J45,TRUE),"")</f>
        <v/>
      </c>
    </row>
    <row r="46" spans="3:8" ht="18" x14ac:dyDescent="0.3">
      <c r="C46" s="43">
        <v>42</v>
      </c>
      <c r="D46" s="41"/>
      <c r="E46" s="42" t="s">
        <v>397</v>
      </c>
      <c r="F46" s="42" t="s">
        <v>398</v>
      </c>
      <c r="G46" s="42" t="s">
        <v>399</v>
      </c>
      <c r="H46" s="41" t="str">
        <f>IF($J46=TRUE,COUNTIF($J$4:$J46,TRUE),"")</f>
        <v/>
      </c>
    </row>
    <row r="47" spans="3:8" ht="18" x14ac:dyDescent="0.3">
      <c r="C47" s="43">
        <v>43</v>
      </c>
      <c r="D47" s="41"/>
      <c r="E47" s="42" t="s">
        <v>400</v>
      </c>
      <c r="F47" s="42" t="s">
        <v>401</v>
      </c>
      <c r="G47" s="42" t="s">
        <v>402</v>
      </c>
      <c r="H47" s="41" t="str">
        <f>IF($J47=TRUE,COUNTIF($J$4:$J47,TRUE),"")</f>
        <v/>
      </c>
    </row>
    <row r="48" spans="3:8" ht="18" x14ac:dyDescent="0.3">
      <c r="C48" s="43">
        <v>44</v>
      </c>
      <c r="D48" s="41"/>
      <c r="E48" s="42" t="s">
        <v>403</v>
      </c>
      <c r="F48" s="42" t="s">
        <v>404</v>
      </c>
      <c r="G48" s="42" t="s">
        <v>405</v>
      </c>
      <c r="H48" s="41" t="str">
        <f>IF($J48=TRUE,COUNTIF($J$4:$J48,TRUE),"")</f>
        <v/>
      </c>
    </row>
    <row r="49" spans="3:8" ht="18" x14ac:dyDescent="0.3">
      <c r="C49" s="43">
        <v>45</v>
      </c>
      <c r="D49" s="41"/>
      <c r="E49" s="42" t="s">
        <v>406</v>
      </c>
      <c r="F49" s="42"/>
      <c r="G49" s="42" t="s">
        <v>407</v>
      </c>
      <c r="H49" s="41" t="str">
        <f>IF($J49=TRUE,COUNTIF($J$4:$J49,TRUE),"")</f>
        <v/>
      </c>
    </row>
    <row r="50" spans="3:8" ht="18" x14ac:dyDescent="0.3">
      <c r="C50" s="43">
        <v>46</v>
      </c>
      <c r="D50" s="41"/>
      <c r="E50" s="42" t="s">
        <v>408</v>
      </c>
      <c r="F50" s="42" t="s">
        <v>409</v>
      </c>
      <c r="G50" s="42" t="s">
        <v>410</v>
      </c>
      <c r="H50" s="41" t="str">
        <f>IF($J50=TRUE,COUNTIF($J$4:$J50,TRUE),"")</f>
        <v/>
      </c>
    </row>
    <row r="51" spans="3:8" ht="18" x14ac:dyDescent="0.3">
      <c r="C51" s="43">
        <v>47</v>
      </c>
      <c r="D51" s="41"/>
      <c r="E51" s="42" t="s">
        <v>411</v>
      </c>
      <c r="F51" s="42" t="s">
        <v>412</v>
      </c>
      <c r="G51" s="42" t="s">
        <v>413</v>
      </c>
      <c r="H51" s="41" t="str">
        <f>IF($J51=TRUE,COUNTIF($J$4:$J51,TRUE),"")</f>
        <v/>
      </c>
    </row>
    <row r="52" spans="3:8" ht="18" x14ac:dyDescent="0.3">
      <c r="C52" s="43">
        <v>48</v>
      </c>
      <c r="D52" s="41"/>
      <c r="E52" s="42" t="s">
        <v>414</v>
      </c>
      <c r="F52" s="42" t="s">
        <v>415</v>
      </c>
      <c r="G52" s="42" t="s">
        <v>416</v>
      </c>
      <c r="H52" s="41" t="str">
        <f>IF($J52=TRUE,COUNTIF($J$4:$J52,TRUE),"")</f>
        <v/>
      </c>
    </row>
    <row r="53" spans="3:8" ht="18" x14ac:dyDescent="0.3">
      <c r="C53" s="43">
        <v>49</v>
      </c>
      <c r="D53" s="41"/>
      <c r="E53" s="42" t="s">
        <v>417</v>
      </c>
      <c r="F53" s="42"/>
      <c r="G53" s="42" t="s">
        <v>418</v>
      </c>
      <c r="H53" s="41" t="str">
        <f>IF($J53=TRUE,COUNTIF($J$4:$J53,TRUE),"")</f>
        <v/>
      </c>
    </row>
    <row r="54" spans="3:8" ht="18" x14ac:dyDescent="0.3">
      <c r="C54" s="43">
        <v>50</v>
      </c>
      <c r="D54" s="41"/>
      <c r="E54" s="42" t="s">
        <v>419</v>
      </c>
      <c r="F54" s="42" t="s">
        <v>420</v>
      </c>
      <c r="G54" s="42" t="s">
        <v>421</v>
      </c>
      <c r="H54" s="41" t="str">
        <f>IF($J54=TRUE,COUNTIF($J$4:$J54,TRUE),"")</f>
        <v/>
      </c>
    </row>
    <row r="55" spans="3:8" ht="18" x14ac:dyDescent="0.3">
      <c r="C55" s="43">
        <v>51</v>
      </c>
      <c r="D55" s="41"/>
      <c r="E55" s="42" t="s">
        <v>422</v>
      </c>
      <c r="F55" s="42" t="s">
        <v>423</v>
      </c>
      <c r="G55" s="42" t="s">
        <v>424</v>
      </c>
      <c r="H55" s="41" t="str">
        <f>IF($J55=TRUE,COUNTIF($J$4:$J55,TRUE),"")</f>
        <v/>
      </c>
    </row>
    <row r="56" spans="3:8" ht="18" x14ac:dyDescent="0.3">
      <c r="C56" s="43">
        <v>52</v>
      </c>
      <c r="D56" s="41"/>
      <c r="E56" s="42" t="s">
        <v>425</v>
      </c>
      <c r="F56" s="42" t="s">
        <v>426</v>
      </c>
      <c r="G56" s="42" t="s">
        <v>427</v>
      </c>
      <c r="H56" s="41" t="str">
        <f>IF($J56=TRUE,COUNTIF($J$4:$J56,TRUE),"")</f>
        <v/>
      </c>
    </row>
    <row r="57" spans="3:8" ht="18" x14ac:dyDescent="0.3">
      <c r="C57" s="43">
        <v>53</v>
      </c>
      <c r="D57" s="41"/>
      <c r="E57" s="42" t="s">
        <v>428</v>
      </c>
      <c r="F57" s="42" t="s">
        <v>233</v>
      </c>
      <c r="G57" s="42" t="s">
        <v>429</v>
      </c>
      <c r="H57" s="41" t="str">
        <f>IF($J57=TRUE,COUNTIF($J$4:$J57,TRUE),"")</f>
        <v/>
      </c>
    </row>
    <row r="58" spans="3:8" ht="18" x14ac:dyDescent="0.3">
      <c r="C58" s="43">
        <v>54</v>
      </c>
      <c r="D58" s="41"/>
      <c r="E58" s="42" t="s">
        <v>430</v>
      </c>
      <c r="F58" s="42" t="s">
        <v>431</v>
      </c>
      <c r="G58" s="42" t="s">
        <v>432</v>
      </c>
      <c r="H58" s="41" t="str">
        <f>IF($J58=TRUE,COUNTIF($J$4:$J58,TRUE),"")</f>
        <v/>
      </c>
    </row>
    <row r="59" spans="3:8" ht="18" x14ac:dyDescent="0.3">
      <c r="C59" s="43">
        <v>55</v>
      </c>
      <c r="D59" s="41"/>
      <c r="E59" s="42" t="s">
        <v>433</v>
      </c>
      <c r="F59" s="42" t="s">
        <v>434</v>
      </c>
      <c r="G59" s="42" t="s">
        <v>435</v>
      </c>
      <c r="H59" s="41" t="str">
        <f>IF($J59=TRUE,COUNTIF($J$4:$J59,TRUE),"")</f>
        <v/>
      </c>
    </row>
    <row r="60" spans="3:8" ht="18" x14ac:dyDescent="0.3">
      <c r="C60" s="43">
        <v>56</v>
      </c>
      <c r="D60" s="41"/>
      <c r="E60" s="42" t="s">
        <v>480</v>
      </c>
      <c r="F60" s="42" t="s">
        <v>436</v>
      </c>
      <c r="G60" s="42" t="s">
        <v>437</v>
      </c>
      <c r="H60" s="41" t="str">
        <f>IF($J60=TRUE,COUNTIF($J$4:$J60,TRUE),"")</f>
        <v/>
      </c>
    </row>
    <row r="61" spans="3:8" ht="18" x14ac:dyDescent="0.3">
      <c r="C61" s="43">
        <v>57</v>
      </c>
      <c r="D61" s="41"/>
      <c r="E61" s="42" t="s">
        <v>438</v>
      </c>
      <c r="F61" s="42" t="s">
        <v>256</v>
      </c>
      <c r="G61" s="42" t="s">
        <v>439</v>
      </c>
      <c r="H61" s="41" t="str">
        <f>IF($J61=TRUE,COUNTIF($J$4:$J61,TRUE),"")</f>
        <v/>
      </c>
    </row>
    <row r="62" spans="3:8" ht="18" x14ac:dyDescent="0.3">
      <c r="C62" s="43">
        <v>58</v>
      </c>
      <c r="D62" s="41"/>
      <c r="E62" s="42" t="s">
        <v>440</v>
      </c>
      <c r="F62" s="42" t="s">
        <v>441</v>
      </c>
      <c r="G62" s="42" t="s">
        <v>442</v>
      </c>
      <c r="H62" s="41" t="str">
        <f>IF($J62=TRUE,COUNTIF($J$4:$J62,TRUE),"")</f>
        <v/>
      </c>
    </row>
    <row r="63" spans="3:8" ht="18" x14ac:dyDescent="0.3">
      <c r="C63" s="43">
        <v>59</v>
      </c>
      <c r="D63" s="41"/>
      <c r="E63" s="42" t="s">
        <v>443</v>
      </c>
      <c r="F63" s="42" t="s">
        <v>444</v>
      </c>
      <c r="G63" s="42" t="s">
        <v>445</v>
      </c>
      <c r="H63" s="41" t="str">
        <f>IF($J63=TRUE,COUNTIF($J$4:$J63,TRUE),"")</f>
        <v/>
      </c>
    </row>
    <row r="64" spans="3:8" ht="18" x14ac:dyDescent="0.3">
      <c r="C64" s="43">
        <v>60</v>
      </c>
      <c r="D64" s="41"/>
      <c r="E64" s="42" t="s">
        <v>446</v>
      </c>
      <c r="F64" s="42" t="s">
        <v>447</v>
      </c>
      <c r="G64" s="42" t="s">
        <v>448</v>
      </c>
      <c r="H64" s="41" t="str">
        <f>IF($J64=TRUE,COUNTIF($J$4:$J64,TRUE),"")</f>
        <v/>
      </c>
    </row>
    <row r="65" spans="3:8" ht="18" x14ac:dyDescent="0.3">
      <c r="C65" s="43">
        <v>61</v>
      </c>
      <c r="D65" s="41"/>
      <c r="E65" s="42" t="s">
        <v>449</v>
      </c>
      <c r="F65" s="42" t="s">
        <v>450</v>
      </c>
      <c r="G65" s="42" t="s">
        <v>451</v>
      </c>
      <c r="H65" s="41" t="str">
        <f>IF($J65=TRUE,COUNTIF($J$4:$J65,TRUE),"")</f>
        <v/>
      </c>
    </row>
    <row r="66" spans="3:8" ht="18" x14ac:dyDescent="0.3">
      <c r="C66" s="43">
        <v>62</v>
      </c>
      <c r="D66" s="41"/>
      <c r="E66" s="42" t="s">
        <v>452</v>
      </c>
      <c r="F66" s="42" t="s">
        <v>453</v>
      </c>
      <c r="G66" s="42" t="s">
        <v>454</v>
      </c>
      <c r="H66" s="41" t="str">
        <f>IF($J66=TRUE,COUNTIF($J$4:$J66,TRUE),"")</f>
        <v/>
      </c>
    </row>
    <row r="67" spans="3:8" ht="18" x14ac:dyDescent="0.3">
      <c r="C67" s="43">
        <v>63</v>
      </c>
      <c r="D67" s="41"/>
      <c r="E67" s="42" t="s">
        <v>477</v>
      </c>
      <c r="F67" s="42" t="s">
        <v>250</v>
      </c>
      <c r="G67" s="42" t="s">
        <v>455</v>
      </c>
      <c r="H67" s="41" t="str">
        <f>IF($J67=TRUE,COUNTIF($J$4:$J67,TRUE),"")</f>
        <v/>
      </c>
    </row>
    <row r="68" spans="3:8" ht="18" x14ac:dyDescent="0.3">
      <c r="C68" s="43">
        <v>64</v>
      </c>
      <c r="D68" s="41"/>
      <c r="E68" s="42" t="s">
        <v>452</v>
      </c>
      <c r="F68" s="42" t="s">
        <v>456</v>
      </c>
      <c r="G68" s="42" t="s">
        <v>454</v>
      </c>
      <c r="H68" s="41" t="str">
        <f>IF($J68=TRUE,COUNTIF($J$4:$J68,TRUE),"")</f>
        <v/>
      </c>
    </row>
    <row r="69" spans="3:8" ht="18" x14ac:dyDescent="0.3">
      <c r="C69" s="43">
        <v>65</v>
      </c>
      <c r="D69" s="41"/>
      <c r="E69" s="42" t="s">
        <v>457</v>
      </c>
      <c r="F69" s="42" t="s">
        <v>273</v>
      </c>
      <c r="G69" s="42"/>
      <c r="H69" s="41" t="str">
        <f>IF($J69=TRUE,COUNTIF($J$4:$J69,TRUE),"")</f>
        <v/>
      </c>
    </row>
    <row r="70" spans="3:8" ht="18" x14ac:dyDescent="0.3">
      <c r="C70" s="43">
        <v>66</v>
      </c>
      <c r="D70" s="41"/>
      <c r="E70" s="42" t="s">
        <v>458</v>
      </c>
      <c r="F70" s="42"/>
      <c r="G70" s="42" t="s">
        <v>459</v>
      </c>
      <c r="H70" s="41" t="str">
        <f>IF($J70=TRUE,COUNTIF($J$4:$J70,TRUE),"")</f>
        <v/>
      </c>
    </row>
    <row r="71" spans="3:8" ht="18" x14ac:dyDescent="0.3">
      <c r="C71" s="43">
        <v>67</v>
      </c>
      <c r="D71" s="41"/>
      <c r="E71" s="42" t="s">
        <v>460</v>
      </c>
      <c r="F71" s="42"/>
      <c r="G71" s="42" t="s">
        <v>461</v>
      </c>
      <c r="H71" s="41" t="str">
        <f>IF($J71=TRUE,COUNTIF($J$4:$J71,TRUE),"")</f>
        <v/>
      </c>
    </row>
    <row r="72" spans="3:8" ht="18" x14ac:dyDescent="0.3">
      <c r="C72" s="43">
        <v>68</v>
      </c>
      <c r="D72" s="41"/>
      <c r="E72" s="42" t="s">
        <v>274</v>
      </c>
      <c r="F72" s="42" t="s">
        <v>462</v>
      </c>
      <c r="G72" s="42" t="s">
        <v>314</v>
      </c>
      <c r="H72" s="41" t="str">
        <f>IF($J72=TRUE,COUNTIF($J$4:$J72,TRUE),"")</f>
        <v/>
      </c>
    </row>
    <row r="73" spans="3:8" ht="18" x14ac:dyDescent="0.3">
      <c r="C73" s="43">
        <v>69</v>
      </c>
      <c r="D73" s="41"/>
      <c r="E73" s="42" t="s">
        <v>276</v>
      </c>
      <c r="F73" s="42" t="s">
        <v>277</v>
      </c>
      <c r="G73" s="42" t="s">
        <v>463</v>
      </c>
      <c r="H73" s="41" t="str">
        <f>IF($J73=TRUE,COUNTIF($J$4:$J73,TRUE),"")</f>
        <v/>
      </c>
    </row>
    <row r="74" spans="3:8" ht="18" x14ac:dyDescent="0.3">
      <c r="C74" s="43">
        <v>70</v>
      </c>
      <c r="D74" s="41"/>
      <c r="E74" s="42" t="s">
        <v>464</v>
      </c>
      <c r="F74" s="42"/>
      <c r="G74" s="42" t="s">
        <v>465</v>
      </c>
      <c r="H74" s="41" t="str">
        <f>IF($J74=TRUE,COUNTIF($J$4:$J74,TRUE),"")</f>
        <v/>
      </c>
    </row>
    <row r="75" spans="3:8" ht="18" x14ac:dyDescent="0.3">
      <c r="C75" s="43">
        <v>71</v>
      </c>
      <c r="D75" s="41"/>
      <c r="E75" s="42" t="s">
        <v>466</v>
      </c>
      <c r="F75" s="42" t="s">
        <v>467</v>
      </c>
      <c r="G75" s="42" t="s">
        <v>468</v>
      </c>
      <c r="H75" s="41" t="str">
        <f>IF($J75=TRUE,COUNTIF($J$4:$J75,TRUE),"")</f>
        <v/>
      </c>
    </row>
    <row r="76" spans="3:8" ht="18" x14ac:dyDescent="0.3">
      <c r="C76" s="43">
        <v>72</v>
      </c>
      <c r="D76" s="41"/>
      <c r="E76" s="42" t="s">
        <v>469</v>
      </c>
      <c r="F76" s="42" t="s">
        <v>470</v>
      </c>
      <c r="G76" s="42" t="s">
        <v>311</v>
      </c>
      <c r="H76" s="41" t="str">
        <f>IF($J76=TRUE,COUNTIF($J$4:$J76,TRUE),"")</f>
        <v/>
      </c>
    </row>
    <row r="77" spans="3:8" ht="18" x14ac:dyDescent="0.3">
      <c r="C77" s="43">
        <v>73</v>
      </c>
      <c r="D77" s="41"/>
      <c r="E77" s="42" t="s">
        <v>471</v>
      </c>
      <c r="F77" s="42" t="s">
        <v>472</v>
      </c>
      <c r="G77" s="42" t="s">
        <v>473</v>
      </c>
      <c r="H77" s="41" t="str">
        <f>IF($J77=TRUE,COUNTIF($J$4:$J77,TRUE),"")</f>
        <v/>
      </c>
    </row>
    <row r="78" spans="3:8" ht="18" x14ac:dyDescent="0.3">
      <c r="C78" s="43">
        <v>74</v>
      </c>
      <c r="D78" s="41"/>
      <c r="E78" s="42" t="s">
        <v>474</v>
      </c>
      <c r="F78" s="42" t="s">
        <v>475</v>
      </c>
      <c r="G78" s="42" t="s">
        <v>476</v>
      </c>
      <c r="H78" s="41" t="str">
        <f>IF($J78=TRUE,COUNTIF($J$4:$J78,TRUE),"")</f>
        <v/>
      </c>
    </row>
  </sheetData>
  <mergeCells count="1">
    <mergeCell ref="D2:H3"/>
  </mergeCells>
  <phoneticPr fontId="18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5"/>
  <sheetViews>
    <sheetView workbookViewId="0"/>
  </sheetViews>
  <sheetFormatPr defaultRowHeight="14.4" x14ac:dyDescent="0.3"/>
  <sheetData>
    <row r="1" spans="1:1" x14ac:dyDescent="0.3">
      <c r="A1" t="s">
        <v>60</v>
      </c>
    </row>
    <row r="2" spans="1:1" x14ac:dyDescent="0.3">
      <c r="A2" t="s">
        <v>61</v>
      </c>
    </row>
    <row r="3" spans="1:1" x14ac:dyDescent="0.3">
      <c r="A3" t="s">
        <v>62</v>
      </c>
    </row>
    <row r="4" spans="1:1" x14ac:dyDescent="0.3">
      <c r="A4" t="s">
        <v>63</v>
      </c>
    </row>
    <row r="5" spans="1:1" x14ac:dyDescent="0.3">
      <c r="A5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Instructions</vt:lpstr>
      <vt:lpstr>Report</vt:lpstr>
      <vt:lpstr>Sheet1</vt:lpstr>
      <vt:lpstr>Sheet2</vt:lpstr>
      <vt:lpstr>Sheet3</vt:lpstr>
      <vt:lpstr>Lists</vt:lpstr>
      <vt:lpstr>LabUnitList</vt:lpstr>
      <vt:lpstr>Report!Print_Area</vt:lpstr>
      <vt:lpstr>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 Aseel</cp:lastModifiedBy>
  <cp:lastPrinted>2026-01-29T16:47:30Z</cp:lastPrinted>
  <dcterms:created xsi:type="dcterms:W3CDTF">2026-01-22T15:30:45Z</dcterms:created>
  <dcterms:modified xsi:type="dcterms:W3CDTF">2026-02-13T21:36:21Z</dcterms:modified>
</cp:coreProperties>
</file>